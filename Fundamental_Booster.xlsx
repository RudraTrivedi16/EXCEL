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Data" sheetId="1" r:id="rId5"/>
    <sheet state="visible" name="Sales Data" sheetId="2" r:id="rId6"/>
    <sheet state="visible" name="Employee Data" sheetId="3" r:id="rId7"/>
  </sheets>
  <definedNames>
    <definedName hidden="1" localSheetId="0" name="_xlnm._FilterDatabase">'Student Data'!$A$1:$J$21</definedName>
    <definedName hidden="1" localSheetId="1" name="_xlnm._FilterDatabase">'Sales Data'!$A$1:$G$21</definedName>
    <definedName hidden="1" localSheetId="2" name="_xlnm._FilterDatabase">'Employee Data'!$A$1:$G$21</definedName>
  </definedNames>
  <calcPr/>
</workbook>
</file>

<file path=xl/sharedStrings.xml><?xml version="1.0" encoding="utf-8"?>
<sst xmlns="http://schemas.openxmlformats.org/spreadsheetml/2006/main" count="164" uniqueCount="115">
  <si>
    <t>Student ID</t>
  </si>
  <si>
    <t>Employee ID</t>
  </si>
  <si>
    <t>Sales ID</t>
  </si>
  <si>
    <t>Full Name</t>
  </si>
  <si>
    <t>First Name</t>
  </si>
  <si>
    <t>Product</t>
  </si>
  <si>
    <t>Department</t>
  </si>
  <si>
    <t>Upper Name</t>
  </si>
  <si>
    <t>Region</t>
  </si>
  <si>
    <t>Math</t>
  </si>
  <si>
    <t>Salary</t>
  </si>
  <si>
    <t>Joining Date</t>
  </si>
  <si>
    <t>Science</t>
  </si>
  <si>
    <t>Salesperson</t>
  </si>
  <si>
    <t>Lower Name</t>
  </si>
  <si>
    <t>Amount</t>
  </si>
  <si>
    <t>English</t>
  </si>
  <si>
    <t>Tenure (Days)</t>
  </si>
  <si>
    <t>Enrollment Date</t>
  </si>
  <si>
    <t>Age/Tenure (Years)</t>
  </si>
  <si>
    <t>Date</t>
  </si>
  <si>
    <t>Student Grade</t>
  </si>
  <si>
    <t>Discount Eligible</t>
  </si>
  <si>
    <t>Ceiling Amt</t>
  </si>
  <si>
    <t>Max Score</t>
  </si>
  <si>
    <t>Floor Amt</t>
  </si>
  <si>
    <t>Average Score</t>
  </si>
  <si>
    <t>Rounded Avg</t>
  </si>
  <si>
    <t>Relative % Total</t>
  </si>
  <si>
    <t>Math &amp; Sci &gt; 80</t>
  </si>
  <si>
    <t>Math &gt; 50 Flag</t>
  </si>
  <si>
    <t>Employee 1</t>
  </si>
  <si>
    <t>Finance</t>
  </si>
  <si>
    <t>Student 1</t>
  </si>
  <si>
    <t>Keyboard</t>
  </si>
  <si>
    <t>South</t>
  </si>
  <si>
    <t>Person 1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</si>
  <si>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</si>
  <si>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</si>
  <si>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</si>
  <si>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</si>
  <si>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</si>
  <si>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</si>
  <si>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</si>
  <si>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</si>
  <si>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</si>
  <si>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</si>
  <si>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</si>
  <si>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Student 2</t>
  </si>
  <si>
    <t>Printer</t>
  </si>
  <si>
    <t>Employee 10</t>
  </si>
  <si>
    <t>West</t>
  </si>
  <si>
    <t>Person 2</t>
  </si>
  <si>
    <t>Employee 11</t>
  </si>
  <si>
    <t>Student 3</t>
  </si>
  <si>
    <t>Employee 12</t>
  </si>
  <si>
    <t>Mouse</t>
  </si>
  <si>
    <t>Employee 13</t>
  </si>
  <si>
    <t>Person 3</t>
  </si>
  <si>
    <t>Student 4</t>
  </si>
  <si>
    <t>Employee 14</t>
  </si>
  <si>
    <t>East</t>
  </si>
  <si>
    <t>Person 4</t>
  </si>
  <si>
    <t>Student 5</t>
  </si>
  <si>
    <t>Employee 15</t>
  </si>
  <si>
    <t>North</t>
  </si>
  <si>
    <t>Person 5</t>
  </si>
  <si>
    <t>Employee 16</t>
  </si>
  <si>
    <t>Student 6</t>
  </si>
  <si>
    <t>Employee 17</t>
  </si>
  <si>
    <t>Person 6</t>
  </si>
  <si>
    <t>Student 7</t>
  </si>
  <si>
    <t>Employee 18</t>
  </si>
  <si>
    <t>Student 8</t>
  </si>
  <si>
    <t>Person 7</t>
  </si>
  <si>
    <t>Employee 19</t>
  </si>
  <si>
    <t>Student 9</t>
  </si>
  <si>
    <t>Employee 20</t>
  </si>
  <si>
    <t>Person 8</t>
  </si>
  <si>
    <t>Salary for Employee ID 3008:</t>
  </si>
  <si>
    <t>Person 9</t>
  </si>
  <si>
    <t>Student 10</t>
  </si>
  <si>
    <t>Person 10</t>
  </si>
  <si>
    <t>Student 11</t>
  </si>
  <si>
    <t>Department for Employee 12:</t>
  </si>
  <si>
    <t>Person 11</t>
  </si>
  <si>
    <t>Student 12</t>
  </si>
  <si>
    <t>Monitor</t>
  </si>
  <si>
    <t>Person 12</t>
  </si>
  <si>
    <t>Student 13</t>
  </si>
  <si>
    <t>Laptop</t>
  </si>
  <si>
    <t>Person 13</t>
  </si>
  <si>
    <t>Student 14</t>
  </si>
  <si>
    <t>Person 14</t>
  </si>
  <si>
    <t>Person 15</t>
  </si>
  <si>
    <t>Student 15</t>
  </si>
  <si>
    <t>Person 16</t>
  </si>
  <si>
    <t>Student 16</t>
  </si>
  <si>
    <t>Person 17</t>
  </si>
  <si>
    <t>Student 17</t>
  </si>
  <si>
    <t>Person 18</t>
  </si>
  <si>
    <t>Student 18</t>
  </si>
  <si>
    <t>Person 19</t>
  </si>
  <si>
    <t>Person 20</t>
  </si>
  <si>
    <t>Student 19</t>
  </si>
  <si>
    <t>Total Sales Sum</t>
  </si>
  <si>
    <t>Student 20</t>
  </si>
  <si>
    <t>Total Sales for North Region &amp; Keyboard:</t>
  </si>
  <si>
    <t>Count of Students scoring Math &gt; 50:</t>
  </si>
  <si>
    <t>Product Price for Sales ID 2005:</t>
  </si>
  <si>
    <t>Average Score for Students &gt; 60:</t>
  </si>
  <si>
    <t>Salesperson for ID 2008:</t>
  </si>
  <si>
    <t>Position of 'Mouse' in Product list:</t>
  </si>
  <si>
    <t>Dynamic Sum of Sales Range E2:E10:</t>
  </si>
  <si>
    <t>Dynamic Range Sum (Last 5 Sales):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</si>
</sst>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$#,##0"/>
    <numFmt numFmtId="165" formatCode="YYYY-MM-DD"/>
    <numFmt numFmtId="166" formatCode="$#,##0.00"/>
    <numFmt numFmtId="167" formatCode="yyyy-mm-dd hh:mm:ss"/>
    <numFmt numFmtId="168" formatCode="0.0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7">
    <border/>
    <border>
      <left/>
      <right/>
      <top/>
      <bottom/>
    </border>
    <border>
      <left/>
      <right/>
      <top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3" fillId="0" fontId="2" numFmtId="0" xfId="0" applyAlignment="1" applyBorder="1" applyFont="1">
      <alignment horizontal="center"/>
    </xf>
    <xf borderId="3" fillId="0" fontId="2" numFmtId="164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3" fillId="0" fontId="2" numFmtId="166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0" fillId="0" fontId="2" numFmtId="3" xfId="0" applyAlignment="1" applyFont="1" applyNumberFormat="1">
      <alignment horizontal="center"/>
    </xf>
    <xf borderId="3" fillId="0" fontId="2" numFmtId="3" xfId="0" applyBorder="1" applyFont="1" applyNumberFormat="1"/>
    <xf borderId="5" fillId="0" fontId="2" numFmtId="1" xfId="0" applyAlignment="1" applyBorder="1" applyFont="1" applyNumberFormat="1">
      <alignment horizontal="center"/>
    </xf>
    <xf borderId="0" fillId="0" fontId="2" numFmtId="167" xfId="0" applyAlignment="1" applyFont="1" applyNumberFormat="1">
      <alignment horizontal="center"/>
    </xf>
    <xf borderId="3" fillId="0" fontId="2" numFmtId="168" xfId="0" applyBorder="1" applyFont="1" applyNumberFormat="1"/>
    <xf borderId="6" fillId="0" fontId="2" numFmtId="165" xfId="0" applyAlignment="1" applyBorder="1" applyFont="1" applyNumberFormat="1">
      <alignment horizontal="center"/>
    </xf>
    <xf borderId="3" fillId="0" fontId="2" numFmtId="3" xfId="0" applyAlignment="1" applyBorder="1" applyFont="1" applyNumberFormat="1">
      <alignment horizontal="center"/>
    </xf>
    <xf borderId="3" fillId="0" fontId="2" numFmtId="164" xfId="0" applyBorder="1" applyFont="1" applyNumberFormat="1"/>
    <xf borderId="3" fillId="0" fontId="2" numFmtId="1" xfId="0" applyBorder="1" applyFont="1" applyNumberFormat="1"/>
    <xf borderId="3" fillId="0" fontId="2" numFmtId="0" xfId="0" applyBorder="1" applyFont="1"/>
    <xf borderId="3" fillId="0" fontId="2" numFmtId="10" xfId="0" applyBorder="1" applyFont="1" applyNumberFormat="1"/>
    <xf borderId="0" fillId="0" fontId="3" numFmtId="0" xfId="0" applyFont="1"/>
    <xf borderId="0" fillId="0" fontId="2" numFmtId="0" xfId="0" applyAlignment="1" applyFont="1">
      <alignment readingOrder="0"/>
    </xf>
    <xf borderId="0" fillId="0" fontId="3" numFmtId="164" xfId="0" applyFont="1" applyNumberForma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2" numFmtId="0" xfId="0" applyFont="1"/>
    <xf borderId="0" fillId="0" fontId="3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0"/>
    <col customWidth="1" min="2" max="2" width="13.0"/>
    <col customWidth="1" min="3" max="4" width="23.0"/>
    <col customWidth="1" min="5" max="5" width="12.0"/>
    <col customWidth="1" min="6" max="6" width="22.0"/>
    <col customWidth="1" min="7" max="9" width="23.0"/>
    <col customWidth="1" min="10" max="10" width="16.0"/>
    <col customWidth="1" min="11" max="14" width="23.0"/>
    <col customWidth="1" min="15" max="26" width="8.71"/>
  </cols>
  <sheetData>
    <row r="1">
      <c r="A1" s="1" t="s">
        <v>0</v>
      </c>
      <c r="B1" s="1" t="s">
        <v>3</v>
      </c>
      <c r="C1" s="1" t="s">
        <v>4</v>
      </c>
      <c r="D1" s="1" t="s">
        <v>7</v>
      </c>
      <c r="E1" s="1" t="s">
        <v>9</v>
      </c>
      <c r="F1" s="2" t="s">
        <v>12</v>
      </c>
      <c r="G1" s="1" t="s">
        <v>16</v>
      </c>
      <c r="H1" s="2" t="s">
        <v>18</v>
      </c>
      <c r="I1" s="3" t="s">
        <v>21</v>
      </c>
      <c r="J1" s="3" t="s">
        <v>24</v>
      </c>
      <c r="K1" s="1" t="s">
        <v>26</v>
      </c>
      <c r="L1" s="1" t="s">
        <v>27</v>
      </c>
      <c r="M1" s="1" t="s">
        <v>29</v>
      </c>
      <c r="N1" s="1" t="s">
        <v>30</v>
      </c>
    </row>
    <row r="2">
      <c r="A2" s="4">
        <v>1001.0</v>
      </c>
      <c r="B2" s="4" t="s">
        <v>33</v>
      </c>
      <c r="C2" s="4" t="str">
        <f t="shared" ref="C2:C21" si="1">LEFT(B2, FIND(" ", B2)-1)</f>
        <v>Student</v>
      </c>
      <c r="D2" s="4" t="str">
        <f t="shared" ref="D2:D21" si="2">UPPER(B2)</f>
        <v>STUDENT 1</v>
      </c>
      <c r="E2" s="8">
        <v>76.0</v>
      </c>
      <c r="F2" s="9">
        <v>48.0</v>
      </c>
      <c r="G2" s="11">
        <f t="shared" ref="G2:G21" si="3">AVERAGE(C2:E2)</f>
        <v>76</v>
      </c>
      <c r="H2" s="12">
        <v>43101.0</v>
      </c>
      <c r="I2" s="14" t="str">
        <f t="shared" ref="I2:I21" si="4">IF(G2&gt;=80, "A", IF(G2&gt;=60, "B", "C"))</f>
        <v>B</v>
      </c>
      <c r="J2" s="15">
        <v>100.0</v>
      </c>
      <c r="K2" s="13">
        <f t="shared" ref="K2:K21" si="5">AVERAGE(E2:G2)</f>
        <v>66.66666667</v>
      </c>
      <c r="L2" s="17">
        <f t="shared" ref="L2:L21" si="6">ROUND(K2, 0)</f>
        <v>67</v>
      </c>
      <c r="M2" s="18" t="str">
        <f t="shared" ref="M2:M21" si="7">IF(AND(E2&gt;80, F2&gt;80), "Yes", "No")</f>
        <v>No</v>
      </c>
      <c r="N2" s="18">
        <f t="shared" ref="N2:N21" si="8">IF(E2&gt;50, 1, 0)</f>
        <v>1</v>
      </c>
    </row>
    <row r="3">
      <c r="A3" s="4">
        <v>1002.0</v>
      </c>
      <c r="B3" s="4" t="s">
        <v>48</v>
      </c>
      <c r="C3" s="4" t="str">
        <f t="shared" si="1"/>
        <v>Student</v>
      </c>
      <c r="D3" s="4" t="str">
        <f t="shared" si="2"/>
        <v>STUDENT 2</v>
      </c>
      <c r="E3" s="8">
        <v>70.0</v>
      </c>
      <c r="F3" s="9">
        <v>76.0</v>
      </c>
      <c r="G3" s="11">
        <f t="shared" si="3"/>
        <v>70</v>
      </c>
      <c r="H3" s="12">
        <v>43281.0</v>
      </c>
      <c r="I3" s="14" t="str">
        <f t="shared" si="4"/>
        <v>B</v>
      </c>
      <c r="J3" s="15">
        <v>100.0</v>
      </c>
      <c r="K3" s="13">
        <f t="shared" si="5"/>
        <v>72</v>
      </c>
      <c r="L3" s="17">
        <f t="shared" si="6"/>
        <v>72</v>
      </c>
      <c r="M3" s="18" t="str">
        <f t="shared" si="7"/>
        <v>No</v>
      </c>
      <c r="N3" s="18">
        <f t="shared" si="8"/>
        <v>1</v>
      </c>
    </row>
    <row r="4">
      <c r="A4" s="4">
        <v>1003.0</v>
      </c>
      <c r="B4" s="4" t="s">
        <v>54</v>
      </c>
      <c r="C4" s="4" t="str">
        <f t="shared" si="1"/>
        <v>Student</v>
      </c>
      <c r="D4" s="4" t="str">
        <f t="shared" si="2"/>
        <v>STUDENT 3</v>
      </c>
      <c r="E4" s="8">
        <v>51.0</v>
      </c>
      <c r="F4" s="9">
        <v>60.0</v>
      </c>
      <c r="G4" s="11">
        <f t="shared" si="3"/>
        <v>51</v>
      </c>
      <c r="H4" s="12">
        <v>43461.0</v>
      </c>
      <c r="I4" s="14" t="str">
        <f t="shared" si="4"/>
        <v>C</v>
      </c>
      <c r="J4" s="15">
        <v>100.0</v>
      </c>
      <c r="K4" s="13">
        <f t="shared" si="5"/>
        <v>54</v>
      </c>
      <c r="L4" s="17">
        <f t="shared" si="6"/>
        <v>54</v>
      </c>
      <c r="M4" s="18" t="str">
        <f t="shared" si="7"/>
        <v>No</v>
      </c>
      <c r="N4" s="18">
        <f t="shared" si="8"/>
        <v>1</v>
      </c>
    </row>
    <row r="5">
      <c r="A5" s="4">
        <v>1004.0</v>
      </c>
      <c r="B5" s="4" t="s">
        <v>59</v>
      </c>
      <c r="C5" s="4" t="str">
        <f t="shared" si="1"/>
        <v>Student</v>
      </c>
      <c r="D5" s="4" t="str">
        <f t="shared" si="2"/>
        <v>STUDENT 4</v>
      </c>
      <c r="E5" s="8">
        <v>46.0</v>
      </c>
      <c r="F5" s="9">
        <v>55.0</v>
      </c>
      <c r="G5" s="11">
        <f t="shared" si="3"/>
        <v>46</v>
      </c>
      <c r="H5" s="12">
        <v>43641.0</v>
      </c>
      <c r="I5" s="14" t="str">
        <f t="shared" si="4"/>
        <v>C</v>
      </c>
      <c r="J5" s="15">
        <v>100.0</v>
      </c>
      <c r="K5" s="13">
        <f t="shared" si="5"/>
        <v>49</v>
      </c>
      <c r="L5" s="17">
        <f t="shared" si="6"/>
        <v>49</v>
      </c>
      <c r="M5" s="18" t="str">
        <f t="shared" si="7"/>
        <v>No</v>
      </c>
      <c r="N5" s="18">
        <f t="shared" si="8"/>
        <v>0</v>
      </c>
    </row>
    <row r="6">
      <c r="A6" s="4">
        <v>1005.0</v>
      </c>
      <c r="B6" s="4" t="s">
        <v>63</v>
      </c>
      <c r="C6" s="4" t="str">
        <f t="shared" si="1"/>
        <v>Student</v>
      </c>
      <c r="D6" s="4" t="str">
        <f t="shared" si="2"/>
        <v>STUDENT 5</v>
      </c>
      <c r="E6" s="8">
        <v>84.0</v>
      </c>
      <c r="F6" s="9">
        <v>74.0</v>
      </c>
      <c r="G6" s="11">
        <f t="shared" si="3"/>
        <v>84</v>
      </c>
      <c r="H6" s="12">
        <v>43821.0</v>
      </c>
      <c r="I6" s="14" t="str">
        <f t="shared" si="4"/>
        <v>A</v>
      </c>
      <c r="J6" s="15">
        <v>100.0</v>
      </c>
      <c r="K6" s="13">
        <f t="shared" si="5"/>
        <v>80.66666667</v>
      </c>
      <c r="L6" s="17">
        <f t="shared" si="6"/>
        <v>81</v>
      </c>
      <c r="M6" s="18" t="str">
        <f t="shared" si="7"/>
        <v>No</v>
      </c>
      <c r="N6" s="18">
        <f t="shared" si="8"/>
        <v>1</v>
      </c>
    </row>
    <row r="7">
      <c r="A7" s="4">
        <v>1006.0</v>
      </c>
      <c r="B7" s="4" t="s">
        <v>68</v>
      </c>
      <c r="C7" s="4" t="str">
        <f t="shared" si="1"/>
        <v>Student</v>
      </c>
      <c r="D7" s="4" t="str">
        <f t="shared" si="2"/>
        <v>STUDENT 6</v>
      </c>
      <c r="E7" s="8">
        <v>65.0</v>
      </c>
      <c r="F7" s="9">
        <v>70.0</v>
      </c>
      <c r="G7" s="11">
        <f t="shared" si="3"/>
        <v>65</v>
      </c>
      <c r="H7" s="12">
        <v>44001.0</v>
      </c>
      <c r="I7" s="14" t="str">
        <f t="shared" si="4"/>
        <v>B</v>
      </c>
      <c r="J7" s="15">
        <v>100.0</v>
      </c>
      <c r="K7" s="13">
        <f t="shared" si="5"/>
        <v>66.66666667</v>
      </c>
      <c r="L7" s="17">
        <f t="shared" si="6"/>
        <v>67</v>
      </c>
      <c r="M7" s="18" t="str">
        <f t="shared" si="7"/>
        <v>No</v>
      </c>
      <c r="N7" s="18">
        <f t="shared" si="8"/>
        <v>1</v>
      </c>
    </row>
    <row r="8">
      <c r="A8" s="4">
        <v>1007.0</v>
      </c>
      <c r="B8" s="4" t="s">
        <v>71</v>
      </c>
      <c r="C8" s="4" t="str">
        <f t="shared" si="1"/>
        <v>Student</v>
      </c>
      <c r="D8" s="4" t="str">
        <f t="shared" si="2"/>
        <v>STUDENT 7</v>
      </c>
      <c r="E8" s="8">
        <v>78.0</v>
      </c>
      <c r="F8" s="9">
        <v>47.0</v>
      </c>
      <c r="G8" s="11">
        <f t="shared" si="3"/>
        <v>78</v>
      </c>
      <c r="H8" s="12">
        <v>44181.0</v>
      </c>
      <c r="I8" s="14" t="str">
        <f t="shared" si="4"/>
        <v>B</v>
      </c>
      <c r="J8" s="15">
        <v>100.0</v>
      </c>
      <c r="K8" s="13">
        <f t="shared" si="5"/>
        <v>67.66666667</v>
      </c>
      <c r="L8" s="17">
        <f t="shared" si="6"/>
        <v>68</v>
      </c>
      <c r="M8" s="18" t="str">
        <f t="shared" si="7"/>
        <v>No</v>
      </c>
      <c r="N8" s="18">
        <f t="shared" si="8"/>
        <v>1</v>
      </c>
    </row>
    <row r="9">
      <c r="A9" s="4">
        <v>1008.0</v>
      </c>
      <c r="B9" s="4" t="s">
        <v>73</v>
      </c>
      <c r="C9" s="4" t="str">
        <f t="shared" si="1"/>
        <v>Student</v>
      </c>
      <c r="D9" s="4" t="str">
        <f t="shared" si="2"/>
        <v>STUDENT 8</v>
      </c>
      <c r="E9" s="8">
        <v>64.0</v>
      </c>
      <c r="F9" s="9">
        <v>67.0</v>
      </c>
      <c r="G9" s="11">
        <f t="shared" si="3"/>
        <v>64</v>
      </c>
      <c r="H9" s="12">
        <v>44361.0</v>
      </c>
      <c r="I9" s="14" t="str">
        <f t="shared" si="4"/>
        <v>B</v>
      </c>
      <c r="J9" s="15">
        <v>100.0</v>
      </c>
      <c r="K9" s="13">
        <f t="shared" si="5"/>
        <v>65</v>
      </c>
      <c r="L9" s="17">
        <f t="shared" si="6"/>
        <v>65</v>
      </c>
      <c r="M9" s="18" t="str">
        <f t="shared" si="7"/>
        <v>No</v>
      </c>
      <c r="N9" s="18">
        <f t="shared" si="8"/>
        <v>1</v>
      </c>
    </row>
    <row r="10">
      <c r="A10" s="4">
        <v>1009.0</v>
      </c>
      <c r="B10" s="4" t="s">
        <v>76</v>
      </c>
      <c r="C10" s="4" t="str">
        <f t="shared" si="1"/>
        <v>Student</v>
      </c>
      <c r="D10" s="4" t="str">
        <f t="shared" si="2"/>
        <v>STUDENT 9</v>
      </c>
      <c r="E10" s="8">
        <v>56.0</v>
      </c>
      <c r="F10" s="9">
        <v>75.0</v>
      </c>
      <c r="G10" s="11">
        <f t="shared" si="3"/>
        <v>56</v>
      </c>
      <c r="H10" s="12">
        <v>44541.0</v>
      </c>
      <c r="I10" s="14" t="str">
        <f t="shared" si="4"/>
        <v>C</v>
      </c>
      <c r="J10" s="15">
        <v>100.0</v>
      </c>
      <c r="K10" s="13">
        <f t="shared" si="5"/>
        <v>62.33333333</v>
      </c>
      <c r="L10" s="17">
        <f t="shared" si="6"/>
        <v>62</v>
      </c>
      <c r="M10" s="18" t="str">
        <f t="shared" si="7"/>
        <v>No</v>
      </c>
      <c r="N10" s="18">
        <f t="shared" si="8"/>
        <v>1</v>
      </c>
    </row>
    <row r="11">
      <c r="A11" s="4">
        <v>1010.0</v>
      </c>
      <c r="B11" s="4" t="s">
        <v>81</v>
      </c>
      <c r="C11" s="4" t="str">
        <f t="shared" si="1"/>
        <v>Student</v>
      </c>
      <c r="D11" s="4" t="str">
        <f t="shared" si="2"/>
        <v>STUDENT 10</v>
      </c>
      <c r="E11" s="8">
        <v>58.0</v>
      </c>
      <c r="F11" s="9">
        <v>54.0</v>
      </c>
      <c r="G11" s="11">
        <f t="shared" si="3"/>
        <v>58</v>
      </c>
      <c r="H11" s="12">
        <v>44721.0</v>
      </c>
      <c r="I11" s="14" t="str">
        <f t="shared" si="4"/>
        <v>C</v>
      </c>
      <c r="J11" s="15">
        <v>100.0</v>
      </c>
      <c r="K11" s="13">
        <f t="shared" si="5"/>
        <v>56.66666667</v>
      </c>
      <c r="L11" s="17">
        <f t="shared" si="6"/>
        <v>57</v>
      </c>
      <c r="M11" s="18" t="str">
        <f t="shared" si="7"/>
        <v>No</v>
      </c>
      <c r="N11" s="18">
        <f t="shared" si="8"/>
        <v>1</v>
      </c>
    </row>
    <row r="12">
      <c r="A12" s="4">
        <v>1011.0</v>
      </c>
      <c r="B12" s="4" t="s">
        <v>83</v>
      </c>
      <c r="C12" s="4" t="str">
        <f t="shared" si="1"/>
        <v>Student</v>
      </c>
      <c r="D12" s="4" t="str">
        <f t="shared" si="2"/>
        <v>STUDENT 11</v>
      </c>
      <c r="E12" s="8">
        <v>53.0</v>
      </c>
      <c r="F12" s="9">
        <v>79.0</v>
      </c>
      <c r="G12" s="11">
        <f t="shared" si="3"/>
        <v>53</v>
      </c>
      <c r="H12" s="12">
        <v>44901.0</v>
      </c>
      <c r="I12" s="14" t="str">
        <f t="shared" si="4"/>
        <v>C</v>
      </c>
      <c r="J12" s="15">
        <v>100.0</v>
      </c>
      <c r="K12" s="13">
        <f t="shared" si="5"/>
        <v>61.66666667</v>
      </c>
      <c r="L12" s="17">
        <f t="shared" si="6"/>
        <v>62</v>
      </c>
      <c r="M12" s="18" t="str">
        <f t="shared" si="7"/>
        <v>No</v>
      </c>
      <c r="N12" s="18">
        <f t="shared" si="8"/>
        <v>1</v>
      </c>
    </row>
    <row r="13">
      <c r="A13" s="4">
        <v>1012.0</v>
      </c>
      <c r="B13" s="4" t="s">
        <v>86</v>
      </c>
      <c r="C13" s="4" t="str">
        <f t="shared" si="1"/>
        <v>Student</v>
      </c>
      <c r="D13" s="4" t="str">
        <f t="shared" si="2"/>
        <v>STUDENT 12</v>
      </c>
      <c r="E13" s="8">
        <v>79.0</v>
      </c>
      <c r="F13" s="9">
        <v>89.0</v>
      </c>
      <c r="G13" s="11">
        <f t="shared" si="3"/>
        <v>79</v>
      </c>
      <c r="H13" s="12">
        <v>45081.0</v>
      </c>
      <c r="I13" s="14" t="str">
        <f t="shared" si="4"/>
        <v>B</v>
      </c>
      <c r="J13" s="15">
        <v>100.0</v>
      </c>
      <c r="K13" s="13">
        <f t="shared" si="5"/>
        <v>82.33333333</v>
      </c>
      <c r="L13" s="17">
        <f t="shared" si="6"/>
        <v>82</v>
      </c>
      <c r="M13" s="18" t="str">
        <f t="shared" si="7"/>
        <v>No</v>
      </c>
      <c r="N13" s="18">
        <f t="shared" si="8"/>
        <v>1</v>
      </c>
    </row>
    <row r="14">
      <c r="A14" s="4">
        <v>1013.0</v>
      </c>
      <c r="B14" s="4" t="s">
        <v>89</v>
      </c>
      <c r="C14" s="4" t="str">
        <f t="shared" si="1"/>
        <v>Student</v>
      </c>
      <c r="D14" s="4" t="str">
        <f t="shared" si="2"/>
        <v>STUDENT 13</v>
      </c>
      <c r="E14" s="8">
        <v>97.0</v>
      </c>
      <c r="F14" s="9">
        <v>90.0</v>
      </c>
      <c r="G14" s="11">
        <f t="shared" si="3"/>
        <v>97</v>
      </c>
      <c r="H14" s="12">
        <v>45261.0</v>
      </c>
      <c r="I14" s="14" t="str">
        <f t="shared" si="4"/>
        <v>A</v>
      </c>
      <c r="J14" s="15">
        <v>100.0</v>
      </c>
      <c r="K14" s="13">
        <f t="shared" si="5"/>
        <v>94.66666667</v>
      </c>
      <c r="L14" s="17">
        <f t="shared" si="6"/>
        <v>95</v>
      </c>
      <c r="M14" s="18" t="str">
        <f t="shared" si="7"/>
        <v>Yes</v>
      </c>
      <c r="N14" s="18">
        <f t="shared" si="8"/>
        <v>1</v>
      </c>
    </row>
    <row r="15">
      <c r="A15" s="4">
        <v>1014.0</v>
      </c>
      <c r="B15" s="4" t="s">
        <v>92</v>
      </c>
      <c r="C15" s="4" t="str">
        <f t="shared" si="1"/>
        <v>Student</v>
      </c>
      <c r="D15" s="4" t="str">
        <f t="shared" si="2"/>
        <v>STUDENT 14</v>
      </c>
      <c r="E15" s="8">
        <v>44.0</v>
      </c>
      <c r="F15" s="9">
        <v>40.0</v>
      </c>
      <c r="G15" s="11">
        <f t="shared" si="3"/>
        <v>44</v>
      </c>
      <c r="H15" s="12">
        <v>45441.0</v>
      </c>
      <c r="I15" s="14" t="str">
        <f t="shared" si="4"/>
        <v>C</v>
      </c>
      <c r="J15" s="15">
        <v>100.0</v>
      </c>
      <c r="K15" s="13">
        <f t="shared" si="5"/>
        <v>42.66666667</v>
      </c>
      <c r="L15" s="17">
        <f t="shared" si="6"/>
        <v>43</v>
      </c>
      <c r="M15" s="18" t="str">
        <f t="shared" si="7"/>
        <v>No</v>
      </c>
      <c r="N15" s="18">
        <f t="shared" si="8"/>
        <v>0</v>
      </c>
    </row>
    <row r="16">
      <c r="A16" s="4">
        <v>1015.0</v>
      </c>
      <c r="B16" s="4" t="s">
        <v>95</v>
      </c>
      <c r="C16" s="4" t="str">
        <f t="shared" si="1"/>
        <v>Student</v>
      </c>
      <c r="D16" s="4" t="str">
        <f t="shared" si="2"/>
        <v>STUDENT 15</v>
      </c>
      <c r="E16" s="8">
        <v>75.0</v>
      </c>
      <c r="F16" s="9">
        <v>51.0</v>
      </c>
      <c r="G16" s="11">
        <f t="shared" si="3"/>
        <v>75</v>
      </c>
      <c r="H16" s="12">
        <v>45621.0</v>
      </c>
      <c r="I16" s="14" t="str">
        <f t="shared" si="4"/>
        <v>B</v>
      </c>
      <c r="J16" s="15">
        <v>100.0</v>
      </c>
      <c r="K16" s="13">
        <f t="shared" si="5"/>
        <v>67</v>
      </c>
      <c r="L16" s="17">
        <f t="shared" si="6"/>
        <v>67</v>
      </c>
      <c r="M16" s="18" t="str">
        <f t="shared" si="7"/>
        <v>No</v>
      </c>
      <c r="N16" s="18">
        <f t="shared" si="8"/>
        <v>1</v>
      </c>
    </row>
    <row r="17">
      <c r="A17" s="4">
        <v>1016.0</v>
      </c>
      <c r="B17" s="4" t="s">
        <v>97</v>
      </c>
      <c r="C17" s="4" t="str">
        <f t="shared" si="1"/>
        <v>Student</v>
      </c>
      <c r="D17" s="4" t="str">
        <f t="shared" si="2"/>
        <v>STUDENT 16</v>
      </c>
      <c r="E17" s="8">
        <v>60.0</v>
      </c>
      <c r="F17" s="9">
        <v>77.0</v>
      </c>
      <c r="G17" s="11">
        <f t="shared" si="3"/>
        <v>60</v>
      </c>
      <c r="H17" s="12">
        <v>45801.0</v>
      </c>
      <c r="I17" s="14" t="str">
        <f t="shared" si="4"/>
        <v>B</v>
      </c>
      <c r="J17" s="15">
        <v>100.0</v>
      </c>
      <c r="K17" s="13">
        <f t="shared" si="5"/>
        <v>65.66666667</v>
      </c>
      <c r="L17" s="17">
        <f t="shared" si="6"/>
        <v>66</v>
      </c>
      <c r="M17" s="18" t="str">
        <f t="shared" si="7"/>
        <v>No</v>
      </c>
      <c r="N17" s="18">
        <f t="shared" si="8"/>
        <v>1</v>
      </c>
    </row>
    <row r="18">
      <c r="A18" s="4">
        <v>1017.0</v>
      </c>
      <c r="B18" s="4" t="s">
        <v>99</v>
      </c>
      <c r="C18" s="4" t="str">
        <f t="shared" si="1"/>
        <v>Student</v>
      </c>
      <c r="D18" s="4" t="str">
        <f t="shared" si="2"/>
        <v>STUDENT 17</v>
      </c>
      <c r="E18" s="8">
        <v>40.0</v>
      </c>
      <c r="F18" s="9">
        <v>59.0</v>
      </c>
      <c r="G18" s="11">
        <f t="shared" si="3"/>
        <v>40</v>
      </c>
      <c r="H18" s="12">
        <v>45981.0</v>
      </c>
      <c r="I18" s="14" t="str">
        <f t="shared" si="4"/>
        <v>C</v>
      </c>
      <c r="J18" s="15">
        <v>100.0</v>
      </c>
      <c r="K18" s="13">
        <f t="shared" si="5"/>
        <v>46.33333333</v>
      </c>
      <c r="L18" s="17">
        <f t="shared" si="6"/>
        <v>46</v>
      </c>
      <c r="M18" s="18" t="str">
        <f t="shared" si="7"/>
        <v>No</v>
      </c>
      <c r="N18" s="18">
        <f t="shared" si="8"/>
        <v>0</v>
      </c>
    </row>
    <row r="19">
      <c r="A19" s="4">
        <v>1018.0</v>
      </c>
      <c r="B19" s="4" t="s">
        <v>101</v>
      </c>
      <c r="C19" s="4" t="str">
        <f t="shared" si="1"/>
        <v>Student</v>
      </c>
      <c r="D19" s="4" t="str">
        <f t="shared" si="2"/>
        <v>STUDENT 18</v>
      </c>
      <c r="E19" s="8">
        <v>79.0</v>
      </c>
      <c r="F19" s="9">
        <v>48.0</v>
      </c>
      <c r="G19" s="11">
        <f t="shared" si="3"/>
        <v>79</v>
      </c>
      <c r="H19" s="12">
        <v>46161.0</v>
      </c>
      <c r="I19" s="14" t="str">
        <f t="shared" si="4"/>
        <v>B</v>
      </c>
      <c r="J19" s="15">
        <v>100.0</v>
      </c>
      <c r="K19" s="13">
        <f t="shared" si="5"/>
        <v>68.66666667</v>
      </c>
      <c r="L19" s="17">
        <f t="shared" si="6"/>
        <v>69</v>
      </c>
      <c r="M19" s="18" t="str">
        <f t="shared" si="7"/>
        <v>No</v>
      </c>
      <c r="N19" s="18">
        <f t="shared" si="8"/>
        <v>1</v>
      </c>
    </row>
    <row r="20">
      <c r="A20" s="4">
        <v>1020.0</v>
      </c>
      <c r="B20" s="4" t="s">
        <v>104</v>
      </c>
      <c r="C20" s="4" t="str">
        <f t="shared" si="1"/>
        <v>Student</v>
      </c>
      <c r="D20" s="4" t="str">
        <f t="shared" si="2"/>
        <v>STUDENT 19</v>
      </c>
      <c r="E20" s="8">
        <v>60.0</v>
      </c>
      <c r="F20" s="9">
        <v>78.0</v>
      </c>
      <c r="G20" s="11">
        <f t="shared" si="3"/>
        <v>60</v>
      </c>
      <c r="H20" s="12">
        <v>46341.0</v>
      </c>
      <c r="I20" s="14" t="str">
        <f t="shared" si="4"/>
        <v>B</v>
      </c>
      <c r="J20" s="15">
        <v>100.0</v>
      </c>
      <c r="K20" s="13">
        <f t="shared" si="5"/>
        <v>66</v>
      </c>
      <c r="L20" s="17">
        <f t="shared" si="6"/>
        <v>66</v>
      </c>
      <c r="M20" s="18" t="str">
        <f t="shared" si="7"/>
        <v>No</v>
      </c>
      <c r="N20" s="18">
        <f t="shared" si="8"/>
        <v>1</v>
      </c>
    </row>
    <row r="21" ht="15.75" customHeight="1">
      <c r="A21" s="4">
        <v>1020.0</v>
      </c>
      <c r="B21" s="4" t="s">
        <v>106</v>
      </c>
      <c r="C21" s="4" t="str">
        <f t="shared" si="1"/>
        <v>Student</v>
      </c>
      <c r="D21" s="4" t="str">
        <f t="shared" si="2"/>
        <v>STUDENT 20</v>
      </c>
      <c r="E21" s="8">
        <v>55.0</v>
      </c>
      <c r="F21" s="9">
        <v>92.0</v>
      </c>
      <c r="G21" s="11">
        <f t="shared" si="3"/>
        <v>55</v>
      </c>
      <c r="H21" s="12">
        <v>46521.0</v>
      </c>
      <c r="I21" s="14" t="str">
        <f t="shared" si="4"/>
        <v>C</v>
      </c>
      <c r="J21" s="15">
        <v>100.0</v>
      </c>
      <c r="K21" s="13">
        <f t="shared" si="5"/>
        <v>67.33333333</v>
      </c>
      <c r="L21" s="17">
        <f t="shared" si="6"/>
        <v>67</v>
      </c>
      <c r="M21" s="18" t="str">
        <f t="shared" si="7"/>
        <v>No</v>
      </c>
      <c r="N21" s="18">
        <f t="shared" si="8"/>
        <v>1</v>
      </c>
    </row>
    <row r="22" ht="15.75" customHeight="1"/>
    <row r="23" ht="15.75" customHeight="1"/>
    <row r="24" ht="15.75" customHeight="1">
      <c r="A24" s="20"/>
    </row>
    <row r="25" ht="15.75" customHeight="1">
      <c r="A25" s="26" t="s">
        <v>108</v>
      </c>
      <c r="C25" s="20">
        <f>COUNTIFS(E2:E21, "&gt;50")</f>
        <v>17</v>
      </c>
    </row>
    <row r="26" ht="15.75" customHeight="1">
      <c r="A26" s="26" t="s">
        <v>110</v>
      </c>
      <c r="C26" s="27">
        <f>AVERAGEIFS(K2:K21, K2:K21, "&gt;60")</f>
        <v>70.28888889</v>
      </c>
    </row>
    <row r="27" ht="15.75" customHeight="1"/>
    <row r="28" ht="15.75" customHeight="1">
      <c r="A28" s="20"/>
    </row>
    <row r="29" ht="15.75" customHeight="1">
      <c r="A29" s="2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2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0"/>
    <col customWidth="1" min="2" max="3" width="12.0"/>
    <col customWidth="1" min="4" max="5" width="23.0"/>
    <col customWidth="1" min="6" max="6" width="22.0"/>
    <col customWidth="1" min="7" max="10" width="23.0"/>
    <col customWidth="1" min="11" max="26" width="8.71"/>
  </cols>
  <sheetData>
    <row r="1">
      <c r="A1" s="1" t="s">
        <v>2</v>
      </c>
      <c r="B1" s="1" t="s">
        <v>5</v>
      </c>
      <c r="C1" s="1" t="s">
        <v>8</v>
      </c>
      <c r="D1" s="1" t="s">
        <v>13</v>
      </c>
      <c r="E1" s="1" t="s">
        <v>15</v>
      </c>
      <c r="F1" s="1" t="s">
        <v>20</v>
      </c>
      <c r="G1" s="1" t="s">
        <v>22</v>
      </c>
      <c r="H1" s="1" t="s">
        <v>23</v>
      </c>
      <c r="I1" s="1" t="s">
        <v>25</v>
      </c>
      <c r="J1" s="1" t="s">
        <v>28</v>
      </c>
    </row>
    <row r="2">
      <c r="A2" s="4">
        <v>2001.0</v>
      </c>
      <c r="B2" s="4" t="s">
        <v>34</v>
      </c>
      <c r="C2" s="4" t="s">
        <v>35</v>
      </c>
      <c r="D2" s="4" t="s">
        <v>36</v>
      </c>
      <c r="E2" s="7">
        <v>7048.0</v>
      </c>
      <c r="F2" s="6">
        <v>44927.0</v>
      </c>
      <c r="G2" s="4" t="str">
        <f t="shared" ref="G2:G21" si="1">IF(OR(E2&gt;20000, C2="North"), "Yes", "No")</f>
        <v>No</v>
      </c>
      <c r="H2" s="16">
        <f t="shared" ref="H2:H21" si="2">CEILING(E2, 100)</f>
        <v>7100</v>
      </c>
      <c r="I2" s="16">
        <f t="shared" ref="I2:I21" si="3">FLOOR(E2, 100)</f>
        <v>7000</v>
      </c>
      <c r="J2" s="19">
        <f t="shared" ref="J2:J21" si="4">E2/$E$22</f>
        <v>0.01388153036</v>
      </c>
    </row>
    <row r="3">
      <c r="A3" s="4">
        <v>2002.0</v>
      </c>
      <c r="B3" s="4" t="s">
        <v>49</v>
      </c>
      <c r="C3" s="4" t="s">
        <v>51</v>
      </c>
      <c r="D3" s="4" t="s">
        <v>52</v>
      </c>
      <c r="E3" s="7">
        <v>17428.0</v>
      </c>
      <c r="F3" s="6">
        <v>44942.0</v>
      </c>
      <c r="G3" s="4" t="str">
        <f t="shared" si="1"/>
        <v>No</v>
      </c>
      <c r="H3" s="16">
        <f t="shared" si="2"/>
        <v>17500</v>
      </c>
      <c r="I3" s="16">
        <f t="shared" si="3"/>
        <v>17400</v>
      </c>
      <c r="J3" s="19">
        <f t="shared" si="4"/>
        <v>0.03432566842</v>
      </c>
    </row>
    <row r="4">
      <c r="A4" s="4">
        <v>2003.0</v>
      </c>
      <c r="B4" s="4" t="s">
        <v>56</v>
      </c>
      <c r="C4" s="4" t="s">
        <v>35</v>
      </c>
      <c r="D4" s="4" t="s">
        <v>58</v>
      </c>
      <c r="E4" s="7">
        <v>23672.0</v>
      </c>
      <c r="F4" s="6">
        <v>44957.0</v>
      </c>
      <c r="G4" s="4" t="str">
        <f t="shared" si="1"/>
        <v>Yes</v>
      </c>
      <c r="H4" s="16">
        <f t="shared" si="2"/>
        <v>23700</v>
      </c>
      <c r="I4" s="16">
        <f t="shared" si="3"/>
        <v>23600</v>
      </c>
      <c r="J4" s="19">
        <f t="shared" si="4"/>
        <v>0.04662366439</v>
      </c>
    </row>
    <row r="5">
      <c r="A5" s="4">
        <v>2004.0</v>
      </c>
      <c r="B5" s="4" t="s">
        <v>49</v>
      </c>
      <c r="C5" s="4" t="s">
        <v>61</v>
      </c>
      <c r="D5" s="4" t="s">
        <v>62</v>
      </c>
      <c r="E5" s="7">
        <v>5264.0</v>
      </c>
      <c r="F5" s="6">
        <v>44972.0</v>
      </c>
      <c r="G5" s="4" t="str">
        <f t="shared" si="1"/>
        <v>No</v>
      </c>
      <c r="H5" s="16">
        <f t="shared" si="2"/>
        <v>5300</v>
      </c>
      <c r="I5" s="16">
        <f t="shared" si="3"/>
        <v>5200</v>
      </c>
      <c r="J5" s="19">
        <f t="shared" si="4"/>
        <v>0.01036781722</v>
      </c>
    </row>
    <row r="6">
      <c r="A6" s="4">
        <v>2005.0</v>
      </c>
      <c r="B6" s="4" t="s">
        <v>34</v>
      </c>
      <c r="C6" s="4" t="s">
        <v>65</v>
      </c>
      <c r="D6" s="4" t="s">
        <v>66</v>
      </c>
      <c r="E6" s="7">
        <v>43388.0</v>
      </c>
      <c r="F6" s="6">
        <v>44987.0</v>
      </c>
      <c r="G6" s="4" t="str">
        <f t="shared" si="1"/>
        <v>Yes</v>
      </c>
      <c r="H6" s="16">
        <f t="shared" si="2"/>
        <v>43400</v>
      </c>
      <c r="I6" s="16">
        <f t="shared" si="3"/>
        <v>43300</v>
      </c>
      <c r="J6" s="19">
        <f t="shared" si="4"/>
        <v>0.08545570929</v>
      </c>
    </row>
    <row r="7">
      <c r="A7" s="4">
        <v>2006.0</v>
      </c>
      <c r="B7" s="4" t="s">
        <v>56</v>
      </c>
      <c r="C7" s="4" t="s">
        <v>65</v>
      </c>
      <c r="D7" s="4" t="s">
        <v>70</v>
      </c>
      <c r="E7" s="7">
        <v>19757.0</v>
      </c>
      <c r="F7" s="6">
        <v>45002.0</v>
      </c>
      <c r="G7" s="4" t="str">
        <f t="shared" si="1"/>
        <v>Yes</v>
      </c>
      <c r="H7" s="16">
        <f t="shared" si="2"/>
        <v>19800</v>
      </c>
      <c r="I7" s="16">
        <f t="shared" si="3"/>
        <v>19700</v>
      </c>
      <c r="J7" s="19">
        <f t="shared" si="4"/>
        <v>0.03891279728</v>
      </c>
    </row>
    <row r="8">
      <c r="A8" s="4">
        <v>2007.0</v>
      </c>
      <c r="B8" s="4" t="s">
        <v>56</v>
      </c>
      <c r="C8" s="4" t="s">
        <v>61</v>
      </c>
      <c r="D8" s="4" t="s">
        <v>74</v>
      </c>
      <c r="E8" s="7">
        <v>32058.0</v>
      </c>
      <c r="F8" s="6">
        <v>45017.0</v>
      </c>
      <c r="G8" s="4" t="str">
        <f t="shared" si="1"/>
        <v>Yes</v>
      </c>
      <c r="H8" s="16">
        <f t="shared" si="2"/>
        <v>32100</v>
      </c>
      <c r="I8" s="16">
        <f t="shared" si="3"/>
        <v>32000</v>
      </c>
      <c r="J8" s="19">
        <f t="shared" si="4"/>
        <v>0.06314047959</v>
      </c>
    </row>
    <row r="9">
      <c r="A9" s="4">
        <v>2008.0</v>
      </c>
      <c r="B9" s="4" t="s">
        <v>34</v>
      </c>
      <c r="C9" s="4" t="s">
        <v>61</v>
      </c>
      <c r="D9" s="4" t="s">
        <v>78</v>
      </c>
      <c r="E9" s="7">
        <v>46429.0</v>
      </c>
      <c r="F9" s="6">
        <v>45032.0</v>
      </c>
      <c r="G9" s="4" t="str">
        <f t="shared" si="1"/>
        <v>Yes</v>
      </c>
      <c r="H9" s="16">
        <f t="shared" si="2"/>
        <v>46500</v>
      </c>
      <c r="I9" s="16">
        <f t="shared" si="3"/>
        <v>46400</v>
      </c>
      <c r="J9" s="19">
        <f t="shared" si="4"/>
        <v>0.09144517209</v>
      </c>
    </row>
    <row r="10">
      <c r="A10" s="4">
        <v>2009.0</v>
      </c>
      <c r="B10" s="4" t="s">
        <v>49</v>
      </c>
      <c r="C10" s="4" t="s">
        <v>61</v>
      </c>
      <c r="D10" s="4" t="s">
        <v>80</v>
      </c>
      <c r="E10" s="7">
        <v>19746.0</v>
      </c>
      <c r="F10" s="6">
        <v>45047.0</v>
      </c>
      <c r="G10" s="4" t="str">
        <f t="shared" si="1"/>
        <v>No</v>
      </c>
      <c r="H10" s="16">
        <f t="shared" si="2"/>
        <v>19800</v>
      </c>
      <c r="I10" s="16">
        <f t="shared" si="3"/>
        <v>19700</v>
      </c>
      <c r="J10" s="19">
        <f t="shared" si="4"/>
        <v>0.03889113201</v>
      </c>
    </row>
    <row r="11">
      <c r="A11" s="4">
        <v>2010.0</v>
      </c>
      <c r="B11" s="4" t="s">
        <v>34</v>
      </c>
      <c r="C11" s="4" t="s">
        <v>35</v>
      </c>
      <c r="D11" s="4" t="s">
        <v>82</v>
      </c>
      <c r="E11" s="7">
        <v>35185.0</v>
      </c>
      <c r="F11" s="6">
        <v>45062.0</v>
      </c>
      <c r="G11" s="4" t="str">
        <f t="shared" si="1"/>
        <v>Yes</v>
      </c>
      <c r="H11" s="16">
        <f t="shared" si="2"/>
        <v>35200</v>
      </c>
      <c r="I11" s="16">
        <f t="shared" si="3"/>
        <v>35100</v>
      </c>
      <c r="J11" s="19">
        <f t="shared" si="4"/>
        <v>0.06929932542</v>
      </c>
    </row>
    <row r="12">
      <c r="A12" s="4">
        <v>2011.0</v>
      </c>
      <c r="B12" s="4" t="s">
        <v>34</v>
      </c>
      <c r="C12" s="4" t="s">
        <v>61</v>
      </c>
      <c r="D12" s="4" t="s">
        <v>85</v>
      </c>
      <c r="E12" s="7">
        <v>33920.0</v>
      </c>
      <c r="F12" s="6">
        <v>45077.0</v>
      </c>
      <c r="G12" s="4" t="str">
        <f t="shared" si="1"/>
        <v>Yes</v>
      </c>
      <c r="H12" s="16">
        <f t="shared" si="2"/>
        <v>34000</v>
      </c>
      <c r="I12" s="16">
        <f t="shared" si="3"/>
        <v>33900</v>
      </c>
      <c r="J12" s="19">
        <f t="shared" si="4"/>
        <v>0.06680781919</v>
      </c>
    </row>
    <row r="13">
      <c r="A13" s="4">
        <v>2012.0</v>
      </c>
      <c r="B13" s="4" t="s">
        <v>87</v>
      </c>
      <c r="C13" s="4" t="s">
        <v>65</v>
      </c>
      <c r="D13" s="4" t="s">
        <v>88</v>
      </c>
      <c r="E13" s="7">
        <v>35611.0</v>
      </c>
      <c r="F13" s="6">
        <v>45092.0</v>
      </c>
      <c r="G13" s="4" t="str">
        <f t="shared" si="1"/>
        <v>Yes</v>
      </c>
      <c r="H13" s="16">
        <f t="shared" si="2"/>
        <v>35700</v>
      </c>
      <c r="I13" s="16">
        <f t="shared" si="3"/>
        <v>35600</v>
      </c>
      <c r="J13" s="19">
        <f t="shared" si="4"/>
        <v>0.0701383623</v>
      </c>
    </row>
    <row r="14">
      <c r="A14" s="4">
        <v>2013.0</v>
      </c>
      <c r="B14" s="4" t="s">
        <v>90</v>
      </c>
      <c r="C14" s="4" t="s">
        <v>61</v>
      </c>
      <c r="D14" s="4" t="s">
        <v>91</v>
      </c>
      <c r="E14" s="7">
        <v>15560.0</v>
      </c>
      <c r="F14" s="6">
        <v>45107.0</v>
      </c>
      <c r="G14" s="4" t="str">
        <f t="shared" si="1"/>
        <v>No</v>
      </c>
      <c r="H14" s="16">
        <f t="shared" si="2"/>
        <v>15600</v>
      </c>
      <c r="I14" s="16">
        <f t="shared" si="3"/>
        <v>15500</v>
      </c>
      <c r="J14" s="19">
        <f t="shared" si="4"/>
        <v>0.0306465114</v>
      </c>
    </row>
    <row r="15">
      <c r="A15" s="4">
        <v>2014.0</v>
      </c>
      <c r="B15" s="4" t="s">
        <v>90</v>
      </c>
      <c r="C15" s="4" t="s">
        <v>35</v>
      </c>
      <c r="D15" s="4" t="s">
        <v>93</v>
      </c>
      <c r="E15" s="7">
        <v>7283.0</v>
      </c>
      <c r="F15" s="6">
        <v>45122.0</v>
      </c>
      <c r="G15" s="4" t="str">
        <f t="shared" si="1"/>
        <v>No</v>
      </c>
      <c r="H15" s="16">
        <f t="shared" si="2"/>
        <v>7300</v>
      </c>
      <c r="I15" s="16">
        <f t="shared" si="3"/>
        <v>7200</v>
      </c>
      <c r="J15" s="19">
        <f t="shared" si="4"/>
        <v>0.01434437934</v>
      </c>
    </row>
    <row r="16">
      <c r="A16" s="4">
        <v>2015.0</v>
      </c>
      <c r="B16" s="4" t="s">
        <v>90</v>
      </c>
      <c r="C16" s="4" t="s">
        <v>61</v>
      </c>
      <c r="D16" s="4" t="s">
        <v>94</v>
      </c>
      <c r="E16" s="7">
        <v>15678.0</v>
      </c>
      <c r="F16" s="6">
        <v>45137.0</v>
      </c>
      <c r="G16" s="4" t="str">
        <f t="shared" si="1"/>
        <v>No</v>
      </c>
      <c r="H16" s="16">
        <f t="shared" si="2"/>
        <v>15700</v>
      </c>
      <c r="I16" s="16">
        <f t="shared" si="3"/>
        <v>15600</v>
      </c>
      <c r="J16" s="19">
        <f t="shared" si="4"/>
        <v>0.03087892068</v>
      </c>
    </row>
    <row r="17">
      <c r="A17" s="4">
        <v>2016.0</v>
      </c>
      <c r="B17" s="4" t="s">
        <v>56</v>
      </c>
      <c r="C17" s="4" t="s">
        <v>61</v>
      </c>
      <c r="D17" s="4" t="s">
        <v>96</v>
      </c>
      <c r="E17" s="7">
        <v>5277.0</v>
      </c>
      <c r="F17" s="6">
        <v>45152.0</v>
      </c>
      <c r="G17" s="4" t="str">
        <f t="shared" si="1"/>
        <v>No</v>
      </c>
      <c r="H17" s="16">
        <f t="shared" si="2"/>
        <v>5300</v>
      </c>
      <c r="I17" s="16">
        <f t="shared" si="3"/>
        <v>5200</v>
      </c>
      <c r="J17" s="19">
        <f t="shared" si="4"/>
        <v>0.01039342164</v>
      </c>
    </row>
    <row r="18">
      <c r="A18" s="4">
        <v>2017.0</v>
      </c>
      <c r="B18" s="4" t="s">
        <v>87</v>
      </c>
      <c r="C18" s="4" t="s">
        <v>65</v>
      </c>
      <c r="D18" s="4" t="s">
        <v>98</v>
      </c>
      <c r="E18" s="7">
        <v>41871.0</v>
      </c>
      <c r="F18" s="6">
        <v>45167.0</v>
      </c>
      <c r="G18" s="4" t="str">
        <f t="shared" si="1"/>
        <v>Yes</v>
      </c>
      <c r="H18" s="16">
        <f t="shared" si="2"/>
        <v>41900</v>
      </c>
      <c r="I18" s="16">
        <f t="shared" si="3"/>
        <v>41800</v>
      </c>
      <c r="J18" s="19">
        <f t="shared" si="4"/>
        <v>0.08246787139</v>
      </c>
    </row>
    <row r="19">
      <c r="A19" s="4">
        <v>2018.0</v>
      </c>
      <c r="B19" s="4" t="s">
        <v>87</v>
      </c>
      <c r="C19" s="4" t="s">
        <v>51</v>
      </c>
      <c r="D19" s="4" t="s">
        <v>100</v>
      </c>
      <c r="E19" s="7">
        <v>38161.0</v>
      </c>
      <c r="F19" s="6">
        <v>45182.0</v>
      </c>
      <c r="G19" s="4" t="str">
        <f t="shared" si="1"/>
        <v>Yes</v>
      </c>
      <c r="H19" s="16">
        <f t="shared" si="2"/>
        <v>38200</v>
      </c>
      <c r="I19" s="16">
        <f t="shared" si="3"/>
        <v>38100</v>
      </c>
      <c r="J19" s="19">
        <f t="shared" si="4"/>
        <v>0.07516076616</v>
      </c>
    </row>
    <row r="20">
      <c r="A20" s="4">
        <v>2019.0</v>
      </c>
      <c r="B20" s="4" t="s">
        <v>56</v>
      </c>
      <c r="C20" s="4" t="s">
        <v>51</v>
      </c>
      <c r="D20" s="4" t="s">
        <v>102</v>
      </c>
      <c r="E20" s="7">
        <v>30436.0</v>
      </c>
      <c r="F20" s="6">
        <v>45197.0</v>
      </c>
      <c r="G20" s="4" t="str">
        <f t="shared" si="1"/>
        <v>Yes</v>
      </c>
      <c r="H20" s="16">
        <f t="shared" si="2"/>
        <v>30500</v>
      </c>
      <c r="I20" s="16">
        <f t="shared" si="3"/>
        <v>30400</v>
      </c>
      <c r="J20" s="19">
        <f t="shared" si="4"/>
        <v>0.05994583682</v>
      </c>
    </row>
    <row r="21" ht="15.75" customHeight="1">
      <c r="A21" s="4">
        <v>2020.0</v>
      </c>
      <c r="B21" s="4" t="s">
        <v>49</v>
      </c>
      <c r="C21" s="4" t="s">
        <v>51</v>
      </c>
      <c r="D21" s="4" t="s">
        <v>103</v>
      </c>
      <c r="E21" s="7">
        <v>33953.0</v>
      </c>
      <c r="F21" s="6">
        <v>45212.0</v>
      </c>
      <c r="G21" s="4" t="str">
        <f t="shared" si="1"/>
        <v>Yes</v>
      </c>
      <c r="H21" s="16">
        <f t="shared" si="2"/>
        <v>34000</v>
      </c>
      <c r="I21" s="16">
        <f t="shared" si="3"/>
        <v>33900</v>
      </c>
      <c r="J21" s="19">
        <f t="shared" si="4"/>
        <v>0.06687281501</v>
      </c>
    </row>
    <row r="22" ht="15.75" customHeight="1">
      <c r="D22" s="24" t="s">
        <v>105</v>
      </c>
      <c r="E22" s="25">
        <f>SUM(E2:E21)</f>
        <v>507725</v>
      </c>
    </row>
    <row r="23" ht="15.75" customHeight="1"/>
    <row r="24" ht="15.75" customHeight="1">
      <c r="A24" s="20"/>
    </row>
    <row r="25" ht="15.75" customHeight="1">
      <c r="A25" s="21" t="s">
        <v>107</v>
      </c>
      <c r="D25" s="22">
        <f>SUMIFS(E2:E21, C2:C21, "North", B2:B21, "Keyboard")</f>
        <v>43388</v>
      </c>
    </row>
    <row r="26" ht="15.75" customHeight="1">
      <c r="A26" s="21" t="s">
        <v>109</v>
      </c>
      <c r="D26" s="22">
        <f>VLOOKUP(2005, A2:E21, 5, FALSE)</f>
        <v>43388</v>
      </c>
    </row>
    <row r="27" ht="15.75" customHeight="1">
      <c r="A27" s="21" t="s">
        <v>111</v>
      </c>
      <c r="D27" s="23" t="str">
        <f t="array" ref="D27">INDEX(D2:D21, MATCH(2008, A2:A21, 0))</f>
        <v>Person 8</v>
      </c>
    </row>
    <row r="28" ht="15.75" customHeight="1">
      <c r="A28" s="21" t="s">
        <v>112</v>
      </c>
      <c r="D28" s="20">
        <f>_xlfn.XMATCH("Mouse", B2:B21)</f>
        <v>3</v>
      </c>
    </row>
    <row r="29" ht="15.75" customHeight="1">
      <c r="A29" s="21" t="s">
        <v>113</v>
      </c>
      <c r="D29" s="22">
        <f t="array" ref="D29">SUM(INDIRECT("E2:E10"))</f>
        <v>214790</v>
      </c>
    </row>
    <row r="30" ht="15.75" customHeight="1">
      <c r="A30" s="21" t="s">
        <v>114</v>
      </c>
      <c r="D30" s="22">
        <f>SUM(OFFSET(E1, 16, 0, 5, 1))</f>
        <v>149698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0"/>
    <col customWidth="1" min="2" max="2" width="14.0"/>
    <col customWidth="1" min="3" max="3" width="13.0"/>
    <col customWidth="1" min="4" max="4" width="23.0"/>
    <col customWidth="1" min="5" max="5" width="22.0"/>
    <col customWidth="1" min="6" max="9" width="23.0"/>
    <col customWidth="1" min="10" max="26" width="8.71"/>
  </cols>
  <sheetData>
    <row r="1">
      <c r="A1" s="1" t="s">
        <v>1</v>
      </c>
      <c r="B1" s="1" t="s">
        <v>3</v>
      </c>
      <c r="C1" s="1" t="s">
        <v>6</v>
      </c>
      <c r="D1" s="1" t="s">
        <v>10</v>
      </c>
      <c r="E1" s="1" t="s">
        <v>11</v>
      </c>
      <c r="F1" s="1" t="s">
        <v>4</v>
      </c>
      <c r="G1" s="1" t="s">
        <v>14</v>
      </c>
      <c r="H1" s="1" t="s">
        <v>17</v>
      </c>
      <c r="I1" s="1" t="s">
        <v>19</v>
      </c>
    </row>
    <row r="2">
      <c r="A2" s="4">
        <v>3001.0</v>
      </c>
      <c r="B2" s="4" t="s">
        <v>31</v>
      </c>
      <c r="C2" s="4" t="s">
        <v>32</v>
      </c>
      <c r="D2" s="5">
        <v>86766.0</v>
      </c>
      <c r="E2" s="6">
        <v>42005.0</v>
      </c>
      <c r="F2" s="4" t="str">
        <f t="shared" ref="F2:F21" si="1">LEFT(B2, FIND(" ", B2)-1)</f>
        <v>Employee</v>
      </c>
      <c r="G2" s="4" t="str">
        <f t="shared" ref="G2:G21" si="2">LOWER(B2)</f>
        <v>employee 1</v>
      </c>
      <c r="H2" s="10">
        <f t="shared" ref="H2:H21" si="3">DAYS(DATE(2026,9,17), E2)</f>
        <v>4277</v>
      </c>
      <c r="I2" s="13">
        <f t="shared" ref="I2:I21" si="4">ROUND(H2/365.25, 1)</f>
        <v>11.7</v>
      </c>
    </row>
    <row r="3">
      <c r="A3" s="4">
        <v>3002.0</v>
      </c>
      <c r="B3" s="4" t="s">
        <v>37</v>
      </c>
      <c r="C3" s="4" t="s">
        <v>32</v>
      </c>
      <c r="D3" s="5">
        <v>31943.0</v>
      </c>
      <c r="E3" s="6">
        <v>42255.0</v>
      </c>
      <c r="F3" s="4" t="str">
        <f t="shared" si="1"/>
        <v>Employee</v>
      </c>
      <c r="G3" s="4" t="str">
        <f t="shared" si="2"/>
        <v>employee 2</v>
      </c>
      <c r="H3" s="10">
        <f t="shared" si="3"/>
        <v>4027</v>
      </c>
      <c r="I3" s="13">
        <f t="shared" si="4"/>
        <v>11</v>
      </c>
    </row>
    <row r="4">
      <c r="A4" s="4">
        <v>3003.0</v>
      </c>
      <c r="B4" s="4" t="s">
        <v>38</v>
      </c>
      <c r="C4" s="4" t="s">
        <v>39</v>
      </c>
      <c r="D4" s="5">
        <v>63374.0</v>
      </c>
      <c r="E4" s="6">
        <v>42505.0</v>
      </c>
      <c r="F4" s="4" t="str">
        <f t="shared" si="1"/>
        <v>Employee</v>
      </c>
      <c r="G4" s="4" t="str">
        <f t="shared" si="2"/>
        <v>employee 3</v>
      </c>
      <c r="H4" s="10">
        <f t="shared" si="3"/>
        <v>3777</v>
      </c>
      <c r="I4" s="13">
        <f t="shared" si="4"/>
        <v>10.3</v>
      </c>
    </row>
    <row r="5">
      <c r="A5" s="4">
        <v>3004.0</v>
      </c>
      <c r="B5" s="4" t="s">
        <v>40</v>
      </c>
      <c r="C5" s="4" t="s">
        <v>32</v>
      </c>
      <c r="D5" s="5">
        <v>109972.0</v>
      </c>
      <c r="E5" s="6">
        <v>42755.0</v>
      </c>
      <c r="F5" s="4" t="str">
        <f t="shared" si="1"/>
        <v>Employee</v>
      </c>
      <c r="G5" s="4" t="str">
        <f t="shared" si="2"/>
        <v>employee 4</v>
      </c>
      <c r="H5" s="10">
        <f t="shared" si="3"/>
        <v>3527</v>
      </c>
      <c r="I5" s="13">
        <f t="shared" si="4"/>
        <v>9.7</v>
      </c>
    </row>
    <row r="6">
      <c r="A6" s="4">
        <v>3005.0</v>
      </c>
      <c r="B6" s="4" t="s">
        <v>41</v>
      </c>
      <c r="C6" s="4" t="s">
        <v>42</v>
      </c>
      <c r="D6" s="5">
        <v>54149.0</v>
      </c>
      <c r="E6" s="6">
        <v>43005.0</v>
      </c>
      <c r="F6" s="4" t="str">
        <f t="shared" si="1"/>
        <v>Employee</v>
      </c>
      <c r="G6" s="4" t="str">
        <f t="shared" si="2"/>
        <v>employee 5</v>
      </c>
      <c r="H6" s="10">
        <f t="shared" si="3"/>
        <v>3277</v>
      </c>
      <c r="I6" s="13">
        <f t="shared" si="4"/>
        <v>9</v>
      </c>
    </row>
    <row r="7">
      <c r="A7" s="4">
        <v>3006.0</v>
      </c>
      <c r="B7" s="4" t="s">
        <v>43</v>
      </c>
      <c r="C7" s="4" t="s">
        <v>42</v>
      </c>
      <c r="D7" s="5">
        <v>78689.0</v>
      </c>
      <c r="E7" s="6">
        <v>43255.0</v>
      </c>
      <c r="F7" s="4" t="str">
        <f t="shared" si="1"/>
        <v>Employee</v>
      </c>
      <c r="G7" s="4" t="str">
        <f t="shared" si="2"/>
        <v>employee 6</v>
      </c>
      <c r="H7" s="10">
        <f t="shared" si="3"/>
        <v>3027</v>
      </c>
      <c r="I7" s="13">
        <f t="shared" si="4"/>
        <v>8.3</v>
      </c>
    </row>
    <row r="8">
      <c r="A8" s="4">
        <v>3007.0</v>
      </c>
      <c r="B8" s="4" t="s">
        <v>44</v>
      </c>
      <c r="C8" s="4" t="s">
        <v>45</v>
      </c>
      <c r="D8" s="5">
        <v>35960.0</v>
      </c>
      <c r="E8" s="6">
        <v>43505.0</v>
      </c>
      <c r="F8" s="4" t="str">
        <f t="shared" si="1"/>
        <v>Employee</v>
      </c>
      <c r="G8" s="4" t="str">
        <f t="shared" si="2"/>
        <v>employee 7</v>
      </c>
      <c r="H8" s="10">
        <f t="shared" si="3"/>
        <v>2777</v>
      </c>
      <c r="I8" s="13">
        <f t="shared" si="4"/>
        <v>7.6</v>
      </c>
    </row>
    <row r="9">
      <c r="A9" s="4">
        <v>3008.0</v>
      </c>
      <c r="B9" s="4" t="s">
        <v>46</v>
      </c>
      <c r="C9" s="4" t="s">
        <v>42</v>
      </c>
      <c r="D9" s="5">
        <v>91659.0</v>
      </c>
      <c r="E9" s="6">
        <v>43755.0</v>
      </c>
      <c r="F9" s="4" t="str">
        <f t="shared" si="1"/>
        <v>Employee</v>
      </c>
      <c r="G9" s="4" t="str">
        <f t="shared" si="2"/>
        <v>employee 8</v>
      </c>
      <c r="H9" s="10">
        <f t="shared" si="3"/>
        <v>2527</v>
      </c>
      <c r="I9" s="13">
        <f t="shared" si="4"/>
        <v>6.9</v>
      </c>
    </row>
    <row r="10">
      <c r="A10" s="4">
        <v>3009.0</v>
      </c>
      <c r="B10" s="4" t="s">
        <v>47</v>
      </c>
      <c r="C10" s="4" t="s">
        <v>42</v>
      </c>
      <c r="D10" s="5">
        <v>90423.0</v>
      </c>
      <c r="E10" s="6">
        <v>44005.0</v>
      </c>
      <c r="F10" s="4" t="str">
        <f t="shared" si="1"/>
        <v>Employee</v>
      </c>
      <c r="G10" s="4" t="str">
        <f t="shared" si="2"/>
        <v>employee 9</v>
      </c>
      <c r="H10" s="10">
        <f t="shared" si="3"/>
        <v>2277</v>
      </c>
      <c r="I10" s="13">
        <f t="shared" si="4"/>
        <v>6.2</v>
      </c>
    </row>
    <row r="11">
      <c r="A11" s="4">
        <v>3010.0</v>
      </c>
      <c r="B11" s="4" t="s">
        <v>50</v>
      </c>
      <c r="C11" s="4" t="s">
        <v>39</v>
      </c>
      <c r="D11" s="5">
        <v>107877.0</v>
      </c>
      <c r="E11" s="6">
        <v>44255.0</v>
      </c>
      <c r="F11" s="4" t="str">
        <f t="shared" si="1"/>
        <v>Employee</v>
      </c>
      <c r="G11" s="4" t="str">
        <f t="shared" si="2"/>
        <v>employee 10</v>
      </c>
      <c r="H11" s="10">
        <f t="shared" si="3"/>
        <v>2027</v>
      </c>
      <c r="I11" s="13">
        <f t="shared" si="4"/>
        <v>5.5</v>
      </c>
    </row>
    <row r="12">
      <c r="A12" s="4">
        <v>3011.0</v>
      </c>
      <c r="B12" s="4" t="s">
        <v>53</v>
      </c>
      <c r="C12" s="4" t="s">
        <v>32</v>
      </c>
      <c r="D12" s="5">
        <v>107634.0</v>
      </c>
      <c r="E12" s="6">
        <v>44505.0</v>
      </c>
      <c r="F12" s="4" t="str">
        <f t="shared" si="1"/>
        <v>Employee</v>
      </c>
      <c r="G12" s="4" t="str">
        <f t="shared" si="2"/>
        <v>employee 11</v>
      </c>
      <c r="H12" s="10">
        <f t="shared" si="3"/>
        <v>1777</v>
      </c>
      <c r="I12" s="13">
        <f t="shared" si="4"/>
        <v>4.9</v>
      </c>
    </row>
    <row r="13">
      <c r="A13" s="4">
        <v>3012.0</v>
      </c>
      <c r="B13" s="4" t="s">
        <v>55</v>
      </c>
      <c r="C13" s="4" t="s">
        <v>32</v>
      </c>
      <c r="D13" s="5">
        <v>35226.0</v>
      </c>
      <c r="E13" s="6">
        <v>44755.0</v>
      </c>
      <c r="F13" s="4" t="str">
        <f t="shared" si="1"/>
        <v>Employee</v>
      </c>
      <c r="G13" s="4" t="str">
        <f t="shared" si="2"/>
        <v>employee 12</v>
      </c>
      <c r="H13" s="10">
        <f t="shared" si="3"/>
        <v>1527</v>
      </c>
      <c r="I13" s="13">
        <f t="shared" si="4"/>
        <v>4.2</v>
      </c>
    </row>
    <row r="14">
      <c r="A14" s="4">
        <v>3013.0</v>
      </c>
      <c r="B14" s="4" t="s">
        <v>57</v>
      </c>
      <c r="C14" s="4" t="s">
        <v>39</v>
      </c>
      <c r="D14" s="5">
        <v>40872.0</v>
      </c>
      <c r="E14" s="6">
        <v>45005.0</v>
      </c>
      <c r="F14" s="4" t="str">
        <f t="shared" si="1"/>
        <v>Employee</v>
      </c>
      <c r="G14" s="4" t="str">
        <f t="shared" si="2"/>
        <v>employee 13</v>
      </c>
      <c r="H14" s="10">
        <f t="shared" si="3"/>
        <v>1277</v>
      </c>
      <c r="I14" s="13">
        <f t="shared" si="4"/>
        <v>3.5</v>
      </c>
    </row>
    <row r="15">
      <c r="A15" s="4">
        <v>3014.0</v>
      </c>
      <c r="B15" s="4" t="s">
        <v>60</v>
      </c>
      <c r="C15" s="4" t="s">
        <v>39</v>
      </c>
      <c r="D15" s="5">
        <v>55378.0</v>
      </c>
      <c r="E15" s="6">
        <v>45255.0</v>
      </c>
      <c r="F15" s="4" t="str">
        <f t="shared" si="1"/>
        <v>Employee</v>
      </c>
      <c r="G15" s="4" t="str">
        <f t="shared" si="2"/>
        <v>employee 14</v>
      </c>
      <c r="H15" s="10">
        <f t="shared" si="3"/>
        <v>1027</v>
      </c>
      <c r="I15" s="13">
        <f t="shared" si="4"/>
        <v>2.8</v>
      </c>
    </row>
    <row r="16">
      <c r="A16" s="4">
        <v>3015.0</v>
      </c>
      <c r="B16" s="4" t="s">
        <v>64</v>
      </c>
      <c r="C16" s="4" t="s">
        <v>39</v>
      </c>
      <c r="D16" s="5">
        <v>63297.0</v>
      </c>
      <c r="E16" s="6">
        <v>45505.0</v>
      </c>
      <c r="F16" s="4" t="str">
        <f t="shared" si="1"/>
        <v>Employee</v>
      </c>
      <c r="G16" s="4" t="str">
        <f t="shared" si="2"/>
        <v>employee 15</v>
      </c>
      <c r="H16" s="10">
        <f t="shared" si="3"/>
        <v>777</v>
      </c>
      <c r="I16" s="13">
        <f t="shared" si="4"/>
        <v>2.1</v>
      </c>
    </row>
    <row r="17">
      <c r="A17" s="4">
        <v>3016.0</v>
      </c>
      <c r="B17" s="4" t="s">
        <v>67</v>
      </c>
      <c r="C17" s="4" t="s">
        <v>32</v>
      </c>
      <c r="D17" s="5">
        <v>114173.0</v>
      </c>
      <c r="E17" s="6">
        <v>45755.0</v>
      </c>
      <c r="F17" s="4" t="str">
        <f t="shared" si="1"/>
        <v>Employee</v>
      </c>
      <c r="G17" s="4" t="str">
        <f t="shared" si="2"/>
        <v>employee 16</v>
      </c>
      <c r="H17" s="10">
        <f t="shared" si="3"/>
        <v>527</v>
      </c>
      <c r="I17" s="13">
        <f t="shared" si="4"/>
        <v>1.4</v>
      </c>
    </row>
    <row r="18">
      <c r="A18" s="4">
        <v>3017.0</v>
      </c>
      <c r="B18" s="4" t="s">
        <v>69</v>
      </c>
      <c r="C18" s="4" t="s">
        <v>39</v>
      </c>
      <c r="D18" s="5">
        <v>86915.0</v>
      </c>
      <c r="E18" s="6">
        <v>46005.0</v>
      </c>
      <c r="F18" s="4" t="str">
        <f t="shared" si="1"/>
        <v>Employee</v>
      </c>
      <c r="G18" s="4" t="str">
        <f t="shared" si="2"/>
        <v>employee 17</v>
      </c>
      <c r="H18" s="10">
        <f t="shared" si="3"/>
        <v>277</v>
      </c>
      <c r="I18" s="13">
        <f t="shared" si="4"/>
        <v>0.8</v>
      </c>
    </row>
    <row r="19">
      <c r="A19" s="4">
        <v>3018.0</v>
      </c>
      <c r="B19" s="4" t="s">
        <v>72</v>
      </c>
      <c r="C19" s="4" t="s">
        <v>42</v>
      </c>
      <c r="D19" s="5">
        <v>116284.0</v>
      </c>
      <c r="E19" s="6">
        <v>46255.0</v>
      </c>
      <c r="F19" s="4" t="str">
        <f t="shared" si="1"/>
        <v>Employee</v>
      </c>
      <c r="G19" s="4" t="str">
        <f t="shared" si="2"/>
        <v>employee 18</v>
      </c>
      <c r="H19" s="10">
        <f t="shared" si="3"/>
        <v>27</v>
      </c>
      <c r="I19" s="13">
        <f t="shared" si="4"/>
        <v>0.1</v>
      </c>
    </row>
    <row r="20">
      <c r="A20" s="4">
        <v>3019.0</v>
      </c>
      <c r="B20" s="4" t="s">
        <v>75</v>
      </c>
      <c r="C20" s="4" t="s">
        <v>45</v>
      </c>
      <c r="D20" s="5">
        <v>116283.0</v>
      </c>
      <c r="E20" s="6">
        <v>46505.0</v>
      </c>
      <c r="F20" s="4" t="str">
        <f t="shared" si="1"/>
        <v>Employee</v>
      </c>
      <c r="G20" s="4" t="str">
        <f t="shared" si="2"/>
        <v>employee 19</v>
      </c>
      <c r="H20" s="10">
        <f t="shared" si="3"/>
        <v>-223</v>
      </c>
      <c r="I20" s="13">
        <f t="shared" si="4"/>
        <v>-0.6</v>
      </c>
    </row>
    <row r="21" ht="15.75" customHeight="1">
      <c r="A21" s="4">
        <v>3020.0</v>
      </c>
      <c r="B21" s="4" t="s">
        <v>77</v>
      </c>
      <c r="C21" s="4" t="s">
        <v>45</v>
      </c>
      <c r="D21" s="5">
        <v>99924.0</v>
      </c>
      <c r="E21" s="6">
        <v>46755.0</v>
      </c>
      <c r="F21" s="4" t="str">
        <f t="shared" si="1"/>
        <v>Employee</v>
      </c>
      <c r="G21" s="4" t="str">
        <f t="shared" si="2"/>
        <v>employee 20</v>
      </c>
      <c r="H21" s="10">
        <f t="shared" si="3"/>
        <v>-473</v>
      </c>
      <c r="I21" s="13">
        <f t="shared" si="4"/>
        <v>-1.3</v>
      </c>
    </row>
    <row r="22" ht="15.75" customHeight="1"/>
    <row r="23" ht="15.75" customHeight="1"/>
    <row r="24" ht="15.75" customHeight="1">
      <c r="A24" s="20"/>
    </row>
    <row r="25" ht="15.75" customHeight="1">
      <c r="A25" s="21" t="s">
        <v>79</v>
      </c>
      <c r="D25" s="22">
        <f t="array" ref="D25">_xlfn.XLOOKUP(3008, A2:A21, D2:D21, "Not Found")</f>
        <v>91659</v>
      </c>
    </row>
    <row r="26" ht="15.75" customHeight="1">
      <c r="A26" s="21" t="s">
        <v>84</v>
      </c>
      <c r="D26" s="23" t="str">
        <f t="array" ref="D26">_xlfn.XLOOKUP("Employee 12", B2:B21, C2:C21, "Not Found")</f>
        <v>Finance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21"/>
  <printOptions/>
  <pageMargins bottom="1.0" footer="0.0" header="0.0" left="0.75" right="0.75" top="1.0"/>
  <pageSetup orientation="landscape"/>
  <drawing r:id="rId1"/>
</worksheet>
</file>