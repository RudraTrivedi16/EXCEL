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Instructions" sheetId="1" r:id="rId5"/>
    <sheet state="visible" name="Final Project Dataset" sheetId="2" r:id="rId6"/>
    <sheet state="visible" name="Lists" sheetId="3" r:id="rId7"/>
    <sheet state="visible" name="Date_Time" sheetId="4" r:id="rId8"/>
    <sheet state="visible" name="Customer_Analysis" sheetId="5" r:id="rId9"/>
    <sheet state="visible" name="Product_Analysis" sheetId="6" r:id="rId10"/>
    <sheet state="visible" name="Pivot_Summaries" sheetId="7" r:id="rId11"/>
    <sheet state="visible" name="Filter_Tool" sheetId="8" r:id="rId12"/>
    <sheet state="visible" name="Compare_Lists" sheetId="9" r:id="rId13"/>
    <sheet state="visible" name="Abbreviations" sheetId="10" r:id="rId14"/>
    <sheet state="visible" name="What_If" sheetId="11" r:id="rId15"/>
    <sheet state="visible" name="Regression" sheetId="12" r:id="rId16"/>
    <sheet state="visible" name="Visualizations" sheetId="13" r:id="rId17"/>
    <sheet state="visible" name="Dashboard" sheetId="14" r:id="rId18"/>
    <sheet state="visible" name="Final_Report" sheetId="15" r:id="rId19"/>
  </sheets>
  <definedNames>
    <definedName name="tx_Since">'Final Project Dataset'!$M$2:$M$251</definedName>
    <definedName name="tx_Price">'Final Project Dataset'!$I$2:$I$251</definedName>
    <definedName name="tx_ProdID">'Final Project Dataset'!$E$2:$E$251</definedName>
    <definedName name="tx_Total">'Final Project Dataset'!$N$2:$N$251</definedName>
    <definedName name="tx_Segment">'Final Project Dataset'!$L$2:$L$251</definedName>
    <definedName name="tx_Region">'Final Project Dataset'!$K$2:$K$251</definedName>
    <definedName name="tx_Qty">'Final Project Dataset'!$H$2:$H$251</definedName>
    <definedName name="tx_CustName">'Final Project Dataset'!$D$2:$D$251</definedName>
    <definedName name="tx_Product">'Final Project Dataset'!$F$2:$F$251</definedName>
    <definedName name="tx_Category">'Final Project Dataset'!$G$2:$G$251</definedName>
    <definedName name="tx_Pay">'Final Project Dataset'!$J$2:$J$251</definedName>
    <definedName name="tx_Date">'Final Project Dataset'!$B$2:$B$251</definedName>
    <definedName name="tx_CustID">'Final Project Dataset'!$C$2:$C$251</definedName>
    <definedName name="tx_ID">'Final Project Dataset'!$A$2:$A$251</definedName>
  </definedNames>
  <calcPr/>
</workbook>
</file>

<file path=xl/sharedStrings.xml><?xml version="1.0" encoding="utf-8"?>
<sst xmlns="http://schemas.openxmlformats.org/spreadsheetml/2006/main" count="2704" uniqueCount="598">
  <si>
    <t>PR. Final Project - "Data Intelligence Dashboard"</t>
  </si>
  <si>
    <t>Region</t>
  </si>
  <si>
    <t>Category</t>
  </si>
  <si>
    <t>Product_ID</t>
  </si>
  <si>
    <t>Product_Name</t>
  </si>
  <si>
    <t>Payment_Method</t>
  </si>
  <si>
    <t>Customer_Segment</t>
  </si>
  <si>
    <t>Customer_ID</t>
  </si>
  <si>
    <t>Customer_Name</t>
  </si>
  <si>
    <t>ALL Region</t>
  </si>
  <si>
    <t>ALL Category</t>
  </si>
  <si>
    <t>Live date functions</t>
  </si>
  <si>
    <t>Dataset: Use the 'Final Project Dataset' sheet containing 200+ records of customer transactions.
Objective: 
Create a full-fledged analysis and reporting solution using Excel to analyze customer transactions, find insights, 
and build visualizations and dashboards.
Key Topics to Implement:
- Date &amp; Time Functions: TODAY, NOW, DATEDIF, EOMONTH
- FILTER Function for multi-value returns
- Conditional Formatting with Icons/Arrows
- Create Timestamp (using NOW and iterative calculations)
- WHAT-IF Analysis: Scenario Manager, Goal Seek
- Linear Regression using Data Analysis Toolpak
- Data Analysis &amp; Storytelling from the dataset
- Use GroupBy concepts to find High-Value Customers using formulas
- Create Dashboard using:
    - Pivot Tables
    - Pivot Charts (Bar, Line, Pie)
    - Slicers and Timelines
    - KPI Indicators with Conditional Formatting
- Find most frequently purchased product or repeating names using formulas
- Compare two lists and extract matching names in a new column
- Create Abbreviations using TEXT functions
- Build a final report with insights and storytelling
Deliverable:
- Well-structured workbook with multiple sheets (Raw Data, Analysis, Visualizations, Dashboard)
- Summary Insights with key metrics: Total Revenue, Top Customers, Most Sold Products, Regional Sales
- Use of all required formulas and functions as listed above</t>
  </si>
  <si>
    <t>Central</t>
  </si>
  <si>
    <t>Appliances</t>
  </si>
  <si>
    <t>Item</t>
  </si>
  <si>
    <t>P001</t>
  </si>
  <si>
    <t>Result</t>
  </si>
  <si>
    <t>Laptop</t>
  </si>
  <si>
    <t>Cash</t>
  </si>
  <si>
    <t>Basic</t>
  </si>
  <si>
    <t>CUST001</t>
  </si>
  <si>
    <t>Transaction_ID</t>
  </si>
  <si>
    <t>First Purchase</t>
  </si>
  <si>
    <t>Date</t>
  </si>
  <si>
    <t>Last Purchase</t>
  </si>
  <si>
    <t>Customer Since (earliest)</t>
  </si>
  <si>
    <t>Quantity</t>
  </si>
  <si>
    <t>Unit_Price</t>
  </si>
  <si>
    <t>Tenure (full years)</t>
  </si>
  <si>
    <t>Tenure (extra months)</t>
  </si>
  <si>
    <t>Days Since Last Purchase</t>
  </si>
  <si>
    <t>Customer_Since</t>
  </si>
  <si>
    <t>Total_Amount</t>
  </si>
  <si>
    <t>Tenure (text)</t>
  </si>
  <si>
    <t>TODAY()</t>
  </si>
  <si>
    <t>TRX0155</t>
  </si>
  <si>
    <t>CUST023</t>
  </si>
  <si>
    <t>All</t>
  </si>
  <si>
    <t>Paul Baker</t>
  </si>
  <si>
    <t>P009</t>
  </si>
  <si>
    <t>Monitor</t>
  </si>
  <si>
    <t>Electronics</t>
  </si>
  <si>
    <t>East</t>
  </si>
  <si>
    <t>P002</t>
  </si>
  <si>
    <t>Smartphone</t>
  </si>
  <si>
    <t>Credit Card</t>
  </si>
  <si>
    <t>Premium</t>
  </si>
  <si>
    <t>CUST002</t>
  </si>
  <si>
    <t>TRX0023</t>
  </si>
  <si>
    <t>CUST013</t>
  </si>
  <si>
    <t>Joseph Jackson</t>
  </si>
  <si>
    <t>TRX0139</t>
  </si>
  <si>
    <t>CUST021</t>
  </si>
  <si>
    <t>Kevin Scott</t>
  </si>
  <si>
    <t>P005</t>
  </si>
  <si>
    <t>Blender</t>
  </si>
  <si>
    <t>PayPal</t>
  </si>
  <si>
    <t>South</t>
  </si>
  <si>
    <t>Standard</t>
  </si>
  <si>
    <t>North</t>
  </si>
  <si>
    <t>TRX0043</t>
  </si>
  <si>
    <t>Furniture</t>
  </si>
  <si>
    <t>P003</t>
  </si>
  <si>
    <t>CUST046</t>
  </si>
  <si>
    <t>Headphones</t>
  </si>
  <si>
    <t>Kathleen Bennett</t>
  </si>
  <si>
    <t>Debit Card</t>
  </si>
  <si>
    <t>CUST003</t>
  </si>
  <si>
    <t>TRX0212</t>
  </si>
  <si>
    <t>Michael Brown</t>
  </si>
  <si>
    <t>P008</t>
  </si>
  <si>
    <t>Bookshelf</t>
  </si>
  <si>
    <t>TRX0092</t>
  </si>
  <si>
    <t>CUST024</t>
  </si>
  <si>
    <t>Dorothy Nelson</t>
  </si>
  <si>
    <t>P004</t>
  </si>
  <si>
    <t>Coffee Maker</t>
  </si>
  <si>
    <t>CUST004</t>
  </si>
  <si>
    <t>West</t>
  </si>
  <si>
    <t>TRX0193</t>
  </si>
  <si>
    <t>CUST005</t>
  </si>
  <si>
    <t>TRX0240</t>
  </si>
  <si>
    <t>CUST017</t>
  </si>
  <si>
    <t>Charles Allen</t>
  </si>
  <si>
    <t>TRX0135</t>
  </si>
  <si>
    <t>CUST009</t>
  </si>
  <si>
    <t>P006</t>
  </si>
  <si>
    <t>Robert Thomas</t>
  </si>
  <si>
    <t>Office Chair</t>
  </si>
  <si>
    <t>CUST006</t>
  </si>
  <si>
    <t>TRX0185</t>
  </si>
  <si>
    <t>CUST026</t>
  </si>
  <si>
    <t>Karen Hill</t>
  </si>
  <si>
    <t>P007</t>
  </si>
  <si>
    <t>Desk</t>
  </si>
  <si>
    <t>CUST007</t>
  </si>
  <si>
    <t>TRX0138</t>
  </si>
  <si>
    <t>CUST022</t>
  </si>
  <si>
    <t>Susan Green</t>
  </si>
  <si>
    <t>TRX0209</t>
  </si>
  <si>
    <t>CUST008</t>
  </si>
  <si>
    <t>TRX0246</t>
  </si>
  <si>
    <t>CUST041</t>
  </si>
  <si>
    <t>Peter Richardson</t>
  </si>
  <si>
    <t>TRX0067</t>
  </si>
  <si>
    <t>CUST043</t>
  </si>
  <si>
    <t>Dennis Gray</t>
  </si>
  <si>
    <t>TRX0191</t>
  </si>
  <si>
    <t>CUST038</t>
  </si>
  <si>
    <t>Michelle Rogers</t>
  </si>
  <si>
    <t>P010</t>
  </si>
  <si>
    <t>Keyboard</t>
  </si>
  <si>
    <t>CUST010</t>
  </si>
  <si>
    <t>TRX0230</t>
  </si>
  <si>
    <t>CUST027</t>
  </si>
  <si>
    <t>George Adams</t>
  </si>
  <si>
    <t>TRX0049</t>
  </si>
  <si>
    <t>CUST025</t>
  </si>
  <si>
    <t>Mark Carter</t>
  </si>
  <si>
    <t>CUST011</t>
  </si>
  <si>
    <t>CUST012</t>
  </si>
  <si>
    <t>TRX0134</t>
  </si>
  <si>
    <t>Maria Garcia</t>
  </si>
  <si>
    <t>TRX0122</t>
  </si>
  <si>
    <t>CUST014</t>
  </si>
  <si>
    <t>TRX0222</t>
  </si>
  <si>
    <t>CUST048</t>
  </si>
  <si>
    <t>Virginia Sanders</t>
  </si>
  <si>
    <t>TRX0231</t>
  </si>
  <si>
    <t>CUST018</t>
  </si>
  <si>
    <t>Barbara Young</t>
  </si>
  <si>
    <t>TRX0239</t>
  </si>
  <si>
    <t>CUST015</t>
  </si>
  <si>
    <t>Patricia Moore</t>
  </si>
  <si>
    <t>TRX0204</t>
  </si>
  <si>
    <t>CUST044</t>
  </si>
  <si>
    <t>Cynthia Price</t>
  </si>
  <si>
    <t>TRX0242</t>
  </si>
  <si>
    <t>CUST016</t>
  </si>
  <si>
    <t>NOW()</t>
  </si>
  <si>
    <t>TRX0071</t>
  </si>
  <si>
    <t>CUST036</t>
  </si>
  <si>
    <t>Nancy Collins</t>
  </si>
  <si>
    <t>TRX0040</t>
  </si>
  <si>
    <t>TRX0235</t>
  </si>
  <si>
    <t>Linda Martin</t>
  </si>
  <si>
    <t>TRX0004</t>
  </si>
  <si>
    <t>TRX0063</t>
  </si>
  <si>
    <t>CUST030</t>
  </si>
  <si>
    <t>Helen Roberts</t>
  </si>
  <si>
    <t>CUST019</t>
  </si>
  <si>
    <t>TRX0241</t>
  </si>
  <si>
    <t>CUST029</t>
  </si>
  <si>
    <t>Edward Mitchell</t>
  </si>
  <si>
    <t>TRX0029</t>
  </si>
  <si>
    <t>CUST020</t>
  </si>
  <si>
    <t>TRX0194</t>
  </si>
  <si>
    <t>Lisa Anderson</t>
  </si>
  <si>
    <t>TRX0130</t>
  </si>
  <si>
    <t>Emma Wilson</t>
  </si>
  <si>
    <t>TRX0041</t>
  </si>
  <si>
    <t>TRX0232</t>
  </si>
  <si>
    <t>TRX0021</t>
  </si>
  <si>
    <t>TRX0245</t>
  </si>
  <si>
    <t>CUST031</t>
  </si>
  <si>
    <t>Steven Turner</t>
  </si>
  <si>
    <t>TRX0015</t>
  </si>
  <si>
    <t>Jennifer Taylor</t>
  </si>
  <si>
    <t>TRX0202</t>
  </si>
  <si>
    <t>CUST035</t>
  </si>
  <si>
    <t>Harry Morgan</t>
  </si>
  <si>
    <t>TRX0042</t>
  </si>
  <si>
    <t>Daniel King</t>
  </si>
  <si>
    <t>First transaction date</t>
  </si>
  <si>
    <t>TRX0128</t>
  </si>
  <si>
    <t>CUST040</t>
  </si>
  <si>
    <t>Sharon Butler</t>
  </si>
  <si>
    <t>TRX0117</t>
  </si>
  <si>
    <t>TRX0208</t>
  </si>
  <si>
    <t>Sarah Davis</t>
  </si>
  <si>
    <t>TRX0234</t>
  </si>
  <si>
    <t>CUST028</t>
  </si>
  <si>
    <t>TRX0121</t>
  </si>
  <si>
    <t>Betty Campbell</t>
  </si>
  <si>
    <t>TRX0220</t>
  </si>
  <si>
    <t>TRX0093</t>
  </si>
  <si>
    <t>CUST050</t>
  </si>
  <si>
    <t>Julie Foster</t>
  </si>
  <si>
    <t>TRX0088</t>
  </si>
  <si>
    <t>TRX0115</t>
  </si>
  <si>
    <t>TRX0154</t>
  </si>
  <si>
    <t>TRX0044</t>
  </si>
  <si>
    <t>CUST032</t>
  </si>
  <si>
    <t>Last transaction date</t>
  </si>
  <si>
    <t>TRX0061</t>
  </si>
  <si>
    <t>TRX0150</t>
  </si>
  <si>
    <t>CUST033</t>
  </si>
  <si>
    <t>TRX0025</t>
  </si>
  <si>
    <t>CUST049</t>
  </si>
  <si>
    <t>Raymond Ross</t>
  </si>
  <si>
    <t>TRX0078</t>
  </si>
  <si>
    <t>CUST034</t>
  </si>
  <si>
    <t>TRX0007</t>
  </si>
  <si>
    <t>TRX0184</t>
  </si>
  <si>
    <t>TRX0104</t>
  </si>
  <si>
    <t>TRX0127</t>
  </si>
  <si>
    <t>TRX0096</t>
  </si>
  <si>
    <t>CUST037</t>
  </si>
  <si>
    <t>TRX0192</t>
  </si>
  <si>
    <t>Dataset span (DATEDIF)</t>
  </si>
  <si>
    <t>TRX0052</t>
  </si>
  <si>
    <t>TRX0070</t>
  </si>
  <si>
    <t>David Martinez</t>
  </si>
  <si>
    <t>CUST039</t>
  </si>
  <si>
    <t>TRX0086</t>
  </si>
  <si>
    <t>Margaret Wright</t>
  </si>
  <si>
    <t>TRX0113</t>
  </si>
  <si>
    <t>TRX0114</t>
  </si>
  <si>
    <t>TRX0136</t>
  </si>
  <si>
    <t>TRX0018</t>
  </si>
  <si>
    <t>TRX0141</t>
  </si>
  <si>
    <t>Frank Torres</t>
  </si>
  <si>
    <t>CUST042</t>
  </si>
  <si>
    <t>TRX0097</t>
  </si>
  <si>
    <t>TRX0169</t>
  </si>
  <si>
    <t>CUST047</t>
  </si>
  <si>
    <t>Gerald Murphy</t>
  </si>
  <si>
    <t>TRX0216</t>
  </si>
  <si>
    <t>TRX0131</t>
  </si>
  <si>
    <t>Days since last transaction</t>
  </si>
  <si>
    <t>TRX0162</t>
  </si>
  <si>
    <t>TRX0244</t>
  </si>
  <si>
    <t>CUST045</t>
  </si>
  <si>
    <t>TRX0006</t>
  </si>
  <si>
    <t>TRX0215</t>
  </si>
  <si>
    <t>TRX0080</t>
  </si>
  <si>
    <t>TRX0228</t>
  </si>
  <si>
    <t>TRX0157</t>
  </si>
  <si>
    <t>TRX0002</t>
  </si>
  <si>
    <t>TRX0217</t>
  </si>
  <si>
    <t>TRX0249</t>
  </si>
  <si>
    <t>TRX0065</t>
  </si>
  <si>
    <t>Elizabeth Hall</t>
  </si>
  <si>
    <t>TRX0176</t>
  </si>
  <si>
    <t>TRX0101</t>
  </si>
  <si>
    <t>TRX0205</t>
  </si>
  <si>
    <t>End of current month (EOMONTH)</t>
  </si>
  <si>
    <t>TRX0020</t>
  </si>
  <si>
    <t>TRX0075</t>
  </si>
  <si>
    <t>TRX0098</t>
  </si>
  <si>
    <t>TRX0247</t>
  </si>
  <si>
    <t>TRX0027</t>
  </si>
  <si>
    <t>TRX0140</t>
  </si>
  <si>
    <t>TRX0132</t>
  </si>
  <si>
    <t>TRX0031</t>
  </si>
  <si>
    <t>TRX0236</t>
  </si>
  <si>
    <t>TRX0001</t>
  </si>
  <si>
    <t>Days left in current month</t>
  </si>
  <si>
    <t>Lawrence Reed</t>
  </si>
  <si>
    <t>TRX0037</t>
  </si>
  <si>
    <t>TRX0058</t>
  </si>
  <si>
    <t>TRX0170</t>
  </si>
  <si>
    <t>Carol Evans</t>
  </si>
  <si>
    <t>TRX0248</t>
  </si>
  <si>
    <t>Sandra Phillips</t>
  </si>
  <si>
    <t>TRX0099</t>
  </si>
  <si>
    <t>TRX0074</t>
  </si>
  <si>
    <t>TRX0225</t>
  </si>
  <si>
    <t>TRX0100</t>
  </si>
  <si>
    <t>TRX0142</t>
  </si>
  <si>
    <t>End of current quarter</t>
  </si>
  <si>
    <t>TRX0112</t>
  </si>
  <si>
    <t>TRX0161</t>
  </si>
  <si>
    <t>TRX0108</t>
  </si>
  <si>
    <t>TRX0211</t>
  </si>
  <si>
    <t>TRX0005</t>
  </si>
  <si>
    <t>Ruth Brooks</t>
  </si>
  <si>
    <t>TRX0195</t>
  </si>
  <si>
    <t>TRX0054</t>
  </si>
  <si>
    <t>TRX0077</t>
  </si>
  <si>
    <t>TRX0111</t>
  </si>
  <si>
    <t>William White</t>
  </si>
  <si>
    <t>TRX0123</t>
  </si>
  <si>
    <t>TRX0177</t>
  </si>
  <si>
    <t>TRX0119</t>
  </si>
  <si>
    <t>TRX0181</t>
  </si>
  <si>
    <t>TRX0129</t>
  </si>
  <si>
    <t>Richard Lee</t>
  </si>
  <si>
    <t>TRX0174</t>
  </si>
  <si>
    <t>TRX0146</t>
  </si>
  <si>
    <t>TRX0203</t>
  </si>
  <si>
    <t>TRX0055</t>
  </si>
  <si>
    <t>TRX0218</t>
  </si>
  <si>
    <t>TRX0085</t>
  </si>
  <si>
    <t>TRX0158</t>
  </si>
  <si>
    <t>TRX0173</t>
  </si>
  <si>
    <t>TRX0034</t>
  </si>
  <si>
    <t>TRX0189</t>
  </si>
  <si>
    <t>TRX0190</t>
  </si>
  <si>
    <t>TRX0079</t>
  </si>
  <si>
    <t>TRX0095</t>
  </si>
  <si>
    <t>TRX0009</t>
  </si>
  <si>
    <t>High-Value percentile</t>
  </si>
  <si>
    <t>TRX0167</t>
  </si>
  <si>
    <t>Same day next year (EDATE)</t>
  </si>
  <si>
    <t>TRX0153</t>
  </si>
  <si>
    <t>High-Value threshold ($)</t>
  </si>
  <si>
    <t>TRX0057</t>
  </si>
  <si>
    <t>TRX0017</t>
  </si>
  <si>
    <t>Mid-Value percentile</t>
  </si>
  <si>
    <t>Mid-Value threshold ($)</t>
  </si>
  <si>
    <t>TRX0060</t>
  </si>
  <si>
    <t>Top 10 Customers by Revenue</t>
  </si>
  <si>
    <t>TRX0109</t>
  </si>
  <si>
    <t>Transactions</t>
  </si>
  <si>
    <t>Units</t>
  </si>
  <si>
    <t>Revenue</t>
  </si>
  <si>
    <t>Avg Order Value</t>
  </si>
  <si>
    <t>% of Total Revenue</t>
  </si>
  <si>
    <t>Rank</t>
  </si>
  <si>
    <t>Tier</t>
  </si>
  <si>
    <t>Repeat?</t>
  </si>
  <si>
    <t>Times Name Appears</t>
  </si>
  <si>
    <t>Customer</t>
  </si>
  <si>
    <t>Share</t>
  </si>
  <si>
    <t>TRX0090</t>
  </si>
  <si>
    <t>TRX0035</t>
  </si>
  <si>
    <t>TRX0172</t>
  </si>
  <si>
    <t>TRX0076</t>
  </si>
  <si>
    <t>Last full month in data ends</t>
  </si>
  <si>
    <t>TRX0210</t>
  </si>
  <si>
    <t>TRX0149</t>
  </si>
  <si>
    <t>TRX0073</t>
  </si>
  <si>
    <t>TRX0033</t>
  </si>
  <si>
    <t>TRX0160</t>
  </si>
  <si>
    <t>TRX0145</t>
  </si>
  <si>
    <t>TRX0148</t>
  </si>
  <si>
    <t>TRX0012</t>
  </si>
  <si>
    <t>Douglas Watson</t>
  </si>
  <si>
    <t>TRX0206</t>
  </si>
  <si>
    <t>TRX0045</t>
  </si>
  <si>
    <t>TRX0094</t>
  </si>
  <si>
    <t>TRX0133</t>
  </si>
  <si>
    <t>TRX0201</t>
  </si>
  <si>
    <t>TRX0137</t>
  </si>
  <si>
    <t>TRX0066</t>
  </si>
  <si>
    <t>TRX0180</t>
  </si>
  <si>
    <t>TRX0082</t>
  </si>
  <si>
    <t>James Johnson</t>
  </si>
  <si>
    <t>TRX0036</t>
  </si>
  <si>
    <t>TRX0198</t>
  </si>
  <si>
    <t>TRX0032</t>
  </si>
  <si>
    <t>TRX0081</t>
  </si>
  <si>
    <t>TRX0224</t>
  </si>
  <si>
    <t>TRX0028</t>
  </si>
  <si>
    <t>TRX0183</t>
  </si>
  <si>
    <t>TRX0163</t>
  </si>
  <si>
    <t>TRX0046</t>
  </si>
  <si>
    <t>TRX0164</t>
  </si>
  <si>
    <t>TRX0008</t>
  </si>
  <si>
    <t>TRX0171</t>
  </si>
  <si>
    <t>TRX0143</t>
  </si>
  <si>
    <t>TRX0165</t>
  </si>
  <si>
    <t>TRX0156</t>
  </si>
  <si>
    <t>TRX0147</t>
  </si>
  <si>
    <t>TRX0207</t>
  </si>
  <si>
    <t>TRX0056</t>
  </si>
  <si>
    <t>TRX0026</t>
  </si>
  <si>
    <t>Arthur Edwards</t>
  </si>
  <si>
    <t>TRX0237</t>
  </si>
  <si>
    <t>TRX0091</t>
  </si>
  <si>
    <t>TRX0125</t>
  </si>
  <si>
    <t>TRX0223</t>
  </si>
  <si>
    <t>TRX0243</t>
  </si>
  <si>
    <t>TRX0084</t>
  </si>
  <si>
    <t>TRX0238</t>
  </si>
  <si>
    <t>TRX0102</t>
  </si>
  <si>
    <t>TRX0022</t>
  </si>
  <si>
    <t>TRX0087</t>
  </si>
  <si>
    <t>TRX0107</t>
  </si>
  <si>
    <t>TRX0051</t>
  </si>
  <si>
    <t>TRX0106</t>
  </si>
  <si>
    <t>TRX0059</t>
  </si>
  <si>
    <t>TRX0072</t>
  </si>
  <si>
    <t>TRX0110</t>
  </si>
  <si>
    <t>TRX0126</t>
  </si>
  <si>
    <t>TRX0159</t>
  </si>
  <si>
    <t>TRX0030</t>
  </si>
  <si>
    <t>TRX0178</t>
  </si>
  <si>
    <t>TRX0188</t>
  </si>
  <si>
    <t>TRX0010</t>
  </si>
  <si>
    <t>TRX0069</t>
  </si>
  <si>
    <t>TRX0166</t>
  </si>
  <si>
    <t>TRX0219</t>
  </si>
  <si>
    <t>TRX0024</t>
  </si>
  <si>
    <t>TRX0105</t>
  </si>
  <si>
    <t>TRX0011</t>
  </si>
  <si>
    <t>TRX0187</t>
  </si>
  <si>
    <t>TRX0089</t>
  </si>
  <si>
    <t>TRX0196</t>
  </si>
  <si>
    <t>TRX0118</t>
  </si>
  <si>
    <t>TRX0179</t>
  </si>
  <si>
    <t>TRX0168</t>
  </si>
  <si>
    <t>TRX0214</t>
  </si>
  <si>
    <t>TRX0221</t>
  </si>
  <si>
    <t>TRX0083</t>
  </si>
  <si>
    <t>TRX0151</t>
  </si>
  <si>
    <t>TRX0047</t>
  </si>
  <si>
    <t>TRX0200</t>
  </si>
  <si>
    <t>TRX0062</t>
  </si>
  <si>
    <t>TRX0182</t>
  </si>
  <si>
    <t>TRX0229</t>
  </si>
  <si>
    <t>TRX0048</t>
  </si>
  <si>
    <t>TRX0227</t>
  </si>
  <si>
    <t>TRX0226</t>
  </si>
  <si>
    <t>TRX0053</t>
  </si>
  <si>
    <t>TRX0233</t>
  </si>
  <si>
    <t>TRX0175</t>
  </si>
  <si>
    <t>TRX0186</t>
  </si>
  <si>
    <t>TRX0016</t>
  </si>
  <si>
    <t>TRX0199</t>
  </si>
  <si>
    <t>TRX0038</t>
  </si>
  <si>
    <t>TRX0014</t>
  </si>
  <si>
    <t>TRX0003</t>
  </si>
  <si>
    <t>TRX0124</t>
  </si>
  <si>
    <t>TRX0013</t>
  </si>
  <si>
    <t>TRX0019</t>
  </si>
  <si>
    <t>TRX0050</t>
  </si>
  <si>
    <t>John Smith</t>
  </si>
  <si>
    <t>TRX0152</t>
  </si>
  <si>
    <t>TRX0213</t>
  </si>
  <si>
    <t>TRX0197</t>
  </si>
  <si>
    <t>TRX0250</t>
  </si>
  <si>
    <t>TRX0068</t>
  </si>
  <si>
    <t>TRX0144</t>
  </si>
  <si>
    <t>TRX0039</t>
  </si>
  <si>
    <t>TRX0116</t>
  </si>
  <si>
    <t>TRX0120</t>
  </si>
  <si>
    <t>TRX0103</t>
  </si>
  <si>
    <t>TRX0064</t>
  </si>
  <si>
    <t>Top 10 combined</t>
  </si>
  <si>
    <t>Most Sold Products</t>
  </si>
  <si>
    <t>Product</t>
  </si>
  <si>
    <t>List Price</t>
  </si>
  <si>
    <t>Times Purchased</t>
  </si>
  <si>
    <t>Units Sold</t>
  </si>
  <si>
    <t>Revenue Share</t>
  </si>
  <si>
    <t>Rank as per Frequency</t>
  </si>
  <si>
    <t>Rank as per Units</t>
  </si>
  <si>
    <t>Rank as per Revenue</t>
  </si>
  <si>
    <t>Repeat customers</t>
  </si>
  <si>
    <t>Revenue by Region and Category</t>
  </si>
  <si>
    <t>Monthly trend</t>
  </si>
  <si>
    <t>Total</t>
  </si>
  <si>
    <t>Month Start</t>
  </si>
  <si>
    <t>Month End</t>
  </si>
  <si>
    <t xml:space="preserve">MoM </t>
  </si>
  <si>
    <t>Coverage</t>
  </si>
  <si>
    <t>Label</t>
  </si>
  <si>
    <t>Average revenue per customer</t>
  </si>
  <si>
    <t>Most frequently purchased</t>
  </si>
  <si>
    <t>Most units sold</t>
  </si>
  <si>
    <t>Highest revenue product</t>
  </si>
  <si>
    <t>Least frequently purchased product</t>
  </si>
  <si>
    <t>Min Total_Amount</t>
  </si>
  <si>
    <t>Matching transactions</t>
  </si>
  <si>
    <t>Revenue of matches</t>
  </si>
  <si>
    <t>Sr. no</t>
  </si>
  <si>
    <t>Source row</t>
  </si>
  <si>
    <t>Helper: idx</t>
  </si>
  <si>
    <t>Helper: match</t>
  </si>
  <si>
    <t>Helper: running</t>
  </si>
  <si>
    <t>Region summary</t>
  </si>
  <si>
    <t>Share of Revenue</t>
  </si>
  <si>
    <t>List A: Customers</t>
  </si>
  <si>
    <t>Match in list B</t>
  </si>
  <si>
    <t>List B: Loyalty Members</t>
  </si>
  <si>
    <t>Match in list A</t>
  </si>
  <si>
    <t>Matching name</t>
  </si>
  <si>
    <t>Revenue of match</t>
  </si>
  <si>
    <t>Match No</t>
  </si>
  <si>
    <t>list of matches</t>
  </si>
  <si>
    <t>Summary</t>
  </si>
  <si>
    <t>Customers in List A</t>
  </si>
  <si>
    <t>Names in List B</t>
  </si>
  <si>
    <t>Matches</t>
  </si>
  <si>
    <t>Names only in List B</t>
  </si>
  <si>
    <t>Match rate</t>
  </si>
  <si>
    <t>Revenue from loyalty members</t>
  </si>
  <si>
    <t>Share of total revenue</t>
  </si>
  <si>
    <t>Customers not yet in loyalty list</t>
  </si>
  <si>
    <t>Category summary</t>
  </si>
  <si>
    <t>Rachel Adams</t>
  </si>
  <si>
    <t>Oliver Grant</t>
  </si>
  <si>
    <t>Payment method summary</t>
  </si>
  <si>
    <t>Nina Patel</t>
  </si>
  <si>
    <t>Victor Hughes</t>
  </si>
  <si>
    <t>Laura Bishop</t>
  </si>
  <si>
    <t>Customer segment summary</t>
  </si>
  <si>
    <t>First</t>
  </si>
  <si>
    <t>Last</t>
  </si>
  <si>
    <t>Initials</t>
  </si>
  <si>
    <t>Short Code</t>
  </si>
  <si>
    <t>Abbreviation</t>
  </si>
  <si>
    <t>Category Code</t>
  </si>
  <si>
    <t>Baseline data</t>
  </si>
  <si>
    <t>Baseline revenue</t>
  </si>
  <si>
    <t>Baseline units</t>
  </si>
  <si>
    <t>Average revenue per unit</t>
  </si>
  <si>
    <t>Scenario Manager</t>
  </si>
  <si>
    <t>Scenario</t>
  </si>
  <si>
    <t>Price change %</t>
  </si>
  <si>
    <t>Volume change %</t>
  </si>
  <si>
    <t>Projected Revenue</t>
  </si>
  <si>
    <t>vs Baseline</t>
  </si>
  <si>
    <t>Pessimistic</t>
  </si>
  <si>
    <t>Base</t>
  </si>
  <si>
    <t>Optimistic</t>
  </si>
  <si>
    <t>Active scenario (pick one)</t>
  </si>
  <si>
    <t>Price change</t>
  </si>
  <si>
    <t>Volume change</t>
  </si>
  <si>
    <t>Projected revenue</t>
  </si>
  <si>
    <t>Baseline Revenue</t>
  </si>
  <si>
    <t>Projected (active scenario)</t>
  </si>
  <si>
    <t>Change</t>
  </si>
  <si>
    <t>Goal Seek set-up</t>
  </si>
  <si>
    <t>Target revenue</t>
  </si>
  <si>
    <t>Volume change held constant</t>
  </si>
  <si>
    <t>Model revenue</t>
  </si>
  <si>
    <t>Gap to target</t>
  </si>
  <si>
    <t>Goal Seek answer</t>
  </si>
  <si>
    <t>Check: revenue at that price change</t>
  </si>
  <si>
    <t>Check: difference to target</t>
  </si>
  <si>
    <t>Units needed at current avg price/unit</t>
  </si>
  <si>
    <t>Extra units vs baseline</t>
  </si>
  <si>
    <t>Price   change</t>
  </si>
  <si>
    <t>Code</t>
  </si>
  <si>
    <t>Month</t>
  </si>
  <si>
    <t>Regression Statistics</t>
  </si>
  <si>
    <t>Value</t>
  </si>
  <si>
    <t>Multiple R</t>
  </si>
  <si>
    <t>R Square</t>
  </si>
  <si>
    <t>Adjusted R Square</t>
  </si>
  <si>
    <t>Standard Error</t>
  </si>
  <si>
    <t>TEXT() example</t>
  </si>
  <si>
    <t>Observations</t>
  </si>
  <si>
    <t>ANOVA</t>
  </si>
  <si>
    <t>df</t>
  </si>
  <si>
    <t>SS</t>
  </si>
  <si>
    <t>MS</t>
  </si>
  <si>
    <t>F</t>
  </si>
  <si>
    <t>Significance F</t>
  </si>
  <si>
    <t>Total revenue</t>
  </si>
  <si>
    <t>Regression</t>
  </si>
  <si>
    <t>Electronics share</t>
  </si>
  <si>
    <t>Today as month-year</t>
  </si>
  <si>
    <t>Residual</t>
  </si>
  <si>
    <t>Coefficients</t>
  </si>
  <si>
    <t>t Stat</t>
  </si>
  <si>
    <t>P-value</t>
  </si>
  <si>
    <t>Lower 95%</t>
  </si>
  <si>
    <t>Upper 95%</t>
  </si>
  <si>
    <t>Intercept</t>
  </si>
  <si>
    <t>Month index (slope)</t>
  </si>
  <si>
    <t>Cross-check SLOPE()</t>
  </si>
  <si>
    <t>Cross-check INTERCEPT()</t>
  </si>
  <si>
    <t>t</t>
  </si>
  <si>
    <t>Forecast Revenue</t>
  </si>
  <si>
    <t>Key metrics</t>
  </si>
  <si>
    <t>Total Revenue</t>
  </si>
  <si>
    <t>Average Order Value</t>
  </si>
  <si>
    <t>Active Customers</t>
  </si>
  <si>
    <t>Average Revenue per Customer</t>
  </si>
  <si>
    <t>Top customers</t>
  </si>
  <si>
    <t>Share of revenue</t>
  </si>
  <si>
    <t>Most sold products</t>
  </si>
  <si>
    <t>Times purchased</t>
  </si>
  <si>
    <t>Regional sales</t>
  </si>
  <si>
    <t>Name</t>
  </si>
  <si>
    <t>Region ▸</t>
  </si>
  <si>
    <t>Category ▸</t>
  </si>
  <si>
    <t>criteria:</t>
  </si>
  <si>
    <t>TOTAL REVENUE</t>
  </si>
  <si>
    <t>TRANSACTIONS</t>
  </si>
  <si>
    <t>UNITS SOLD</t>
  </si>
  <si>
    <t>AVG ORDER VALUE</t>
  </si>
  <si>
    <t>MoM GROWTH</t>
  </si>
  <si>
    <t>TOP PRODUCT</t>
  </si>
  <si>
    <t>KPI Scorecard</t>
  </si>
  <si>
    <t>Revenue by Region</t>
  </si>
  <si>
    <t>KPI</t>
  </si>
  <si>
    <t>Actual</t>
  </si>
  <si>
    <t>Target</t>
  </si>
  <si>
    <t>Attainment</t>
  </si>
  <si>
    <t>vs Avg Region</t>
  </si>
  <si>
    <t xml:space="preserve">Top 5 Customers </t>
  </si>
  <si>
    <t>Revenue by Category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</si>
</sst>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yyyy\-mm\-dd"/>
    <numFmt numFmtId="165" formatCode="dd\-mmm\-yyyy"/>
    <numFmt numFmtId="166" formatCode="dd\-mmm\-yyyy\ hh:mm:ss"/>
    <numFmt numFmtId="167" formatCode="\$#,##0.00"/>
    <numFmt numFmtId="168" formatCode="\$#,##0;&quot;($&quot;#,##0\);\-"/>
    <numFmt numFmtId="169" formatCode="0.0%"/>
    <numFmt numFmtId="170" formatCode="mmm\-yy"/>
    <numFmt numFmtId="171" formatCode="0.0%;\-0.0%;0.0%"/>
    <numFmt numFmtId="172" formatCode="0.0000"/>
    <numFmt numFmtId="173" formatCode="0.000"/>
    <numFmt numFmtId="174" formatCode="\+0.0%;\-0.0%;0.0%"/>
    <numFmt numFmtId="175" formatCode="\+0%;\-0%;0%"/>
  </numFmts>
  <fonts count="25">
    <font>
      <sz val="11.0"/>
      <color theme="1"/>
      <name val="Calibri"/>
      <scheme val="minor"/>
    </font>
    <font>
      <b/>
      <sz val="16.0"/>
      <color rgb="FF1F3864"/>
      <name val="Arial"/>
    </font>
    <font>
      <b/>
      <sz val="11.0"/>
      <color theme="1"/>
      <name val="Calibri"/>
    </font>
    <font>
      <b/>
      <sz val="10.0"/>
      <color rgb="FFFFFFFF"/>
      <name val="Arial"/>
    </font>
    <font>
      <sz val="11.0"/>
      <color theme="1"/>
      <name val="Calibri"/>
    </font>
    <font>
      <b/>
      <sz val="12.0"/>
      <color rgb="FF1F3864"/>
      <name val="Arial"/>
    </font>
    <font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rgb="FF000000"/>
      <name val="Calibri"/>
      <scheme val="minor"/>
    </font>
    <font>
      <i/>
      <sz val="10.0"/>
      <color rgb="FF595959"/>
      <name val="Arial"/>
    </font>
    <font>
      <sz val="10.0"/>
      <color rgb="FF0000FF"/>
      <name val="Arial"/>
    </font>
    <font/>
    <font>
      <b/>
      <sz val="10.0"/>
      <color rgb="FF1F3864"/>
      <name val="Arial"/>
    </font>
    <font>
      <sz val="10.0"/>
      <color rgb="FF595959"/>
      <name val="Arial"/>
    </font>
    <font>
      <i/>
      <sz val="10.0"/>
      <color rgb="FFC00000"/>
      <name val="Arial"/>
    </font>
    <font>
      <color theme="1"/>
      <name val="Calibri"/>
      <scheme val="minor"/>
    </font>
    <font>
      <b/>
      <sz val="18.0"/>
      <color rgb="FFFFFFFF"/>
      <name val="Arial"/>
    </font>
    <font>
      <sz val="10.0"/>
      <color rgb="FFFFFFFF"/>
      <name val="Arial"/>
    </font>
    <font>
      <i/>
      <sz val="10.0"/>
      <color rgb="FFA6A6A6"/>
      <name val="Arial"/>
    </font>
    <font>
      <sz val="10.0"/>
      <color rgb="FFA6A6A6"/>
      <name val="Arial"/>
    </font>
    <font>
      <b/>
      <sz val="9.0"/>
      <color rgb="FF595959"/>
      <name val="Arial"/>
    </font>
    <font>
      <b/>
      <sz val="18.0"/>
      <color rgb="FF1F3864"/>
      <name val="Arial"/>
    </font>
    <font>
      <i/>
      <sz val="9.0"/>
      <color rgb="FF595959"/>
      <name val="Arial"/>
    </font>
    <font>
      <i/>
      <sz val="8.0"/>
      <color rgb="FF595959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3864"/>
        <bgColor rgb="FF1F3864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DDEBF7"/>
        <bgColor rgb="FFDDEBF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2" fillId="3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1"/>
    </xf>
    <xf borderId="2" fillId="0" fontId="6" numFmtId="0" xfId="0" applyAlignment="1" applyBorder="1" applyFont="1">
      <alignment shrinkToFit="0" vertical="bottom" wrapText="0"/>
    </xf>
    <xf borderId="2" fillId="4" fontId="6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2" fillId="0" fontId="8" numFmtId="165" xfId="0" applyAlignment="1" applyBorder="1" applyFont="1" applyNumberFormat="1">
      <alignment horizontal="right" shrinkToFit="0" vertical="center" wrapText="0"/>
    </xf>
    <xf borderId="0" fillId="4" fontId="9" numFmtId="0" xfId="0" applyFill="1" applyFont="1"/>
    <xf borderId="2" fillId="0" fontId="7" numFmtId="165" xfId="0" applyAlignment="1" applyBorder="1" applyFont="1" applyNumberFormat="1">
      <alignment shrinkToFit="0" vertical="bottom" wrapText="0"/>
    </xf>
    <xf borderId="2" fillId="0" fontId="7" numFmtId="1" xfId="0" applyAlignment="1" applyBorder="1" applyFont="1" applyNumberFormat="1">
      <alignment horizontal="center" shrinkToFit="0" vertical="center" wrapText="0"/>
    </xf>
    <xf borderId="2" fillId="0" fontId="7" numFmtId="3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horizontal="center" shrinkToFit="0" vertical="center" wrapText="0"/>
    </xf>
    <xf borderId="2" fillId="0" fontId="8" numFmtId="166" xfId="0" applyAlignment="1" applyBorder="1" applyFont="1" applyNumberFormat="1">
      <alignment horizontal="right" shrinkToFit="0" vertical="center" wrapText="0"/>
    </xf>
    <xf borderId="2" fillId="0" fontId="8" numFmtId="0" xfId="0" applyAlignment="1" applyBorder="1" applyFont="1">
      <alignment horizontal="right" shrinkToFit="0" vertical="center" wrapText="0"/>
    </xf>
    <xf borderId="2" fillId="0" fontId="8" numFmtId="3" xfId="0" applyAlignment="1" applyBorder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2" fillId="5" fontId="11" numFmtId="9" xfId="0" applyAlignment="1" applyBorder="1" applyFill="1" applyFont="1" applyNumberFormat="1">
      <alignment shrinkToFit="0" vertical="bottom" wrapText="0"/>
    </xf>
    <xf borderId="2" fillId="0" fontId="7" numFmtId="167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0" fontId="7" numFmtId="168" xfId="0" applyAlignment="1" applyBorder="1" applyFont="1" applyNumberFormat="1">
      <alignment shrinkToFit="0" vertical="bottom" wrapText="0"/>
    </xf>
    <xf borderId="2" fillId="0" fontId="7" numFmtId="169" xfId="0" applyAlignment="1" applyBorder="1" applyFont="1" applyNumberFormat="1">
      <alignment shrinkToFit="0" vertical="bottom" wrapText="0"/>
    </xf>
    <xf borderId="2" fillId="0" fontId="7" numFmtId="3" xfId="0" applyAlignment="1" applyBorder="1" applyFont="1" applyNumberFormat="1">
      <alignment horizontal="center" shrinkToFit="0" vertical="center" wrapText="0"/>
    </xf>
    <xf borderId="2" fillId="0" fontId="8" numFmtId="0" xfId="0" applyAlignment="1" applyBorder="1" applyFont="1">
      <alignment shrinkToFit="0" vertical="bottom" wrapText="0"/>
    </xf>
    <xf borderId="2" fillId="0" fontId="8" numFmtId="168" xfId="0" applyAlignment="1" applyBorder="1" applyFont="1" applyNumberFormat="1">
      <alignment shrinkToFit="0" vertical="bottom" wrapText="0"/>
    </xf>
    <xf borderId="2" fillId="0" fontId="8" numFmtId="169" xfId="0" applyAlignment="1" applyBorder="1" applyFont="1" applyNumberFormat="1">
      <alignment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4" fillId="0" fontId="12" numFmtId="0" xfId="0" applyBorder="1" applyFont="1"/>
    <xf borderId="5" fillId="0" fontId="12" numFmtId="0" xfId="0" applyBorder="1" applyFont="1"/>
    <xf borderId="3" fillId="0" fontId="8" numFmtId="3" xfId="0" applyAlignment="1" applyBorder="1" applyFont="1" applyNumberFormat="1">
      <alignment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0" fontId="8" numFmtId="168" xfId="0" applyAlignment="1" applyBorder="1" applyFont="1" applyNumberFormat="1">
      <alignment shrinkToFit="0" vertical="bottom" wrapText="0"/>
    </xf>
    <xf borderId="2" fillId="0" fontId="7" numFmtId="170" xfId="0" applyAlignment="1" applyBorder="1" applyFont="1" applyNumberFormat="1">
      <alignment shrinkToFit="0" vertical="bottom" wrapText="0"/>
    </xf>
    <xf borderId="2" fillId="0" fontId="8" numFmtId="3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2" fillId="5" fontId="11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5" fontId="11" numFmtId="168" xfId="0" applyAlignment="1" applyBorder="1" applyFill="1" applyFont="1" applyNumberFormat="1">
      <alignment shrinkToFit="0" vertical="bottom" wrapText="0"/>
    </xf>
    <xf borderId="0" fillId="0" fontId="7" numFmtId="1" xfId="0" applyAlignment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0" fillId="0" fontId="14" numFmtId="1" xfId="0" applyAlignment="1" applyFont="1" applyNumberFormat="1">
      <alignment horizontal="center" shrinkToFit="0" vertical="center" wrapText="0"/>
    </xf>
    <xf borderId="0" fillId="0" fontId="14" numFmtId="1" xfId="0" applyAlignment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2" fillId="0" fontId="11" numFmtId="0" xfId="0" applyAlignment="1" applyBorder="1" applyFont="1">
      <alignment shrinkToFit="0" vertical="bottom" wrapText="0"/>
    </xf>
    <xf borderId="2" fillId="0" fontId="7" numFmtId="1" xfId="0" applyAlignment="1" applyBorder="1" applyFont="1" applyNumberFormat="1">
      <alignment shrinkToFit="0" vertical="bottom" wrapText="0"/>
    </xf>
    <xf borderId="2" fillId="0" fontId="8" numFmtId="167" xfId="0" applyAlignment="1" applyBorder="1" applyFont="1" applyNumberFormat="1">
      <alignment shrinkToFit="0" vertical="bottom" wrapText="0"/>
    </xf>
    <xf borderId="2" fillId="5" fontId="11" numFmtId="169" xfId="0" applyAlignment="1" applyBorder="1" applyFill="1" applyFont="1" applyNumberFormat="1">
      <alignment shrinkToFit="0" vertical="bottom" wrapText="0"/>
    </xf>
    <xf borderId="2" fillId="0" fontId="7" numFmtId="171" xfId="0" applyAlignment="1" applyBorder="1" applyFont="1" applyNumberFormat="1">
      <alignment shrinkToFit="0" vertical="bottom" wrapText="0"/>
    </xf>
    <xf borderId="2" fillId="0" fontId="8" numFmtId="0" xfId="0" applyAlignment="1" applyBorder="1" applyFont="1">
      <alignment readingOrder="0" shrinkToFit="0" vertical="bottom" wrapText="0"/>
    </xf>
    <xf borderId="2" fillId="5" fontId="11" numFmtId="10" xfId="0" applyAlignment="1" applyBorder="1" applyFill="1" applyFont="1" applyNumberFormat="1">
      <alignment shrinkToFit="0" vertical="bottom" wrapText="0"/>
    </xf>
    <xf borderId="2" fillId="0" fontId="8" numFmtId="10" xfId="0" applyAlignment="1" applyBorder="1" applyFont="1" applyNumberFormat="1">
      <alignment shrinkToFit="0" vertical="bottom" wrapText="0"/>
    </xf>
    <xf borderId="0" fillId="0" fontId="16" numFmtId="0" xfId="0" applyAlignment="1" applyFont="1">
      <alignment readingOrder="0"/>
    </xf>
    <xf borderId="0" fillId="0" fontId="16" numFmtId="0" xfId="0" applyAlignment="1" applyFont="1">
      <alignment horizontal="center" readingOrder="0" shrinkToFit="0" textRotation="0" vertical="center" wrapText="1"/>
    </xf>
    <xf borderId="2" fillId="0" fontId="7" numFmtId="170" xfId="0" applyAlignment="1" applyBorder="1" applyFont="1" applyNumberFormat="1">
      <alignment horizontal="center" shrinkToFit="0" vertical="center" wrapText="0"/>
    </xf>
    <xf borderId="2" fillId="0" fontId="7" numFmtId="172" xfId="0" applyAlignment="1" applyBorder="1" applyFont="1" applyNumberFormat="1">
      <alignment shrinkToFit="0" vertical="bottom" wrapText="0"/>
    </xf>
    <xf borderId="2" fillId="0" fontId="7" numFmtId="173" xfId="0" applyAlignment="1" applyBorder="1" applyFont="1" applyNumberFormat="1">
      <alignment shrinkToFit="0" vertical="bottom" wrapText="0"/>
    </xf>
    <xf borderId="2" fillId="0" fontId="7" numFmtId="4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top" wrapText="1"/>
    </xf>
    <xf borderId="6" fillId="3" fontId="17" numFmtId="0" xfId="0" applyAlignment="1" applyBorder="1" applyFill="1" applyFont="1">
      <alignment shrinkToFit="0" vertical="bottom" wrapText="0"/>
    </xf>
    <xf borderId="6" fillId="3" fontId="4" numFmtId="0" xfId="0" applyAlignment="1" applyBorder="1" applyFill="1" applyFont="1">
      <alignment shrinkToFit="0" vertical="bottom" wrapText="0"/>
    </xf>
    <xf borderId="6" fillId="3" fontId="18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168" xfId="0" applyAlignment="1" applyFont="1" applyNumberFormat="1">
      <alignment shrinkToFit="0" vertical="bottom" wrapText="0"/>
    </xf>
    <xf borderId="0" fillId="0" fontId="19" numFmtId="0" xfId="0" applyAlignment="1" applyFont="1">
      <alignment horizontal="right" shrinkToFit="0" vertical="center" wrapText="0"/>
    </xf>
    <xf borderId="0" fillId="0" fontId="20" numFmtId="0" xfId="0" applyAlignment="1" applyFont="1">
      <alignment shrinkToFit="0" vertical="bottom" wrapText="0"/>
    </xf>
    <xf borderId="7" fillId="6" fontId="21" numFmtId="0" xfId="0" applyAlignment="1" applyBorder="1" applyFill="1" applyFont="1">
      <alignment horizontal="center" shrinkToFit="0" vertical="center" wrapText="0"/>
    </xf>
    <xf borderId="8" fillId="0" fontId="12" numFmtId="0" xfId="0" applyBorder="1" applyFont="1"/>
    <xf borderId="7" fillId="6" fontId="22" numFmtId="168" xfId="0" applyAlignment="1" applyBorder="1" applyFill="1" applyFont="1" applyNumberFormat="1">
      <alignment horizontal="center" shrinkToFit="0" vertical="center" wrapText="0"/>
    </xf>
    <xf borderId="7" fillId="6" fontId="22" numFmtId="3" xfId="0" applyAlignment="1" applyBorder="1" applyFill="1" applyFont="1" applyNumberFormat="1">
      <alignment horizontal="center" shrinkToFit="0" vertical="center" wrapText="0"/>
    </xf>
    <xf borderId="7" fillId="6" fontId="22" numFmtId="174" xfId="0" applyAlignment="1" applyBorder="1" applyFill="1" applyFont="1" applyNumberFormat="1">
      <alignment horizontal="center" shrinkToFit="0" vertical="center" wrapText="0"/>
    </xf>
    <xf borderId="7" fillId="6" fontId="22" numFmtId="0" xfId="0" applyAlignment="1" applyBorder="1" applyFill="1" applyFont="1">
      <alignment horizontal="center" shrinkToFit="0" vertical="center" wrapText="0"/>
    </xf>
    <xf borderId="7" fillId="6" fontId="23" numFmtId="0" xfId="0" applyAlignment="1" applyBorder="1" applyFill="1" applyFont="1">
      <alignment horizontal="center" shrinkToFit="0" vertical="center" wrapText="0"/>
    </xf>
    <xf borderId="2" fillId="0" fontId="7" numFmtId="169" xfId="0" applyAlignment="1" applyBorder="1" applyFont="1" applyNumberFormat="1">
      <alignment horizontal="center" shrinkToFit="0" vertical="center" wrapText="0"/>
    </xf>
    <xf borderId="2" fillId="0" fontId="7" numFmtId="175" xfId="0" applyAlignment="1" applyBorder="1" applyFont="1" applyNumberFormat="1">
      <alignment horizontal="center" shrinkToFit="0" vertical="center" wrapText="0"/>
    </xf>
    <xf borderId="2" fillId="5" fontId="11" numFmtId="3" xfId="0" applyAlignment="1" applyBorder="1" applyFill="1" applyFont="1" applyNumberFormat="1">
      <alignment shrinkToFit="0" vertical="bottom" wrapText="0"/>
    </xf>
    <xf borderId="0" fillId="0" fontId="24" numFmtId="0" xfId="0" applyAlignment="1" applyFont="1">
      <alignment shrinkToFit="0" vertical="bottom" wrapText="0"/>
    </xf>
  </cellXfs>
  <cellStyles count="1">
    <cellStyle xfId="0" name="Normal" builtinId="0"/>
  </cellStyles>
  <dxfs count="4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>
        <b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color rgb="FFC00000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Revenue vs Month Index (with linear trendline)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Revenue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(Revenue)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Regression!$A$5:$A$15</c:f>
            </c:numRef>
          </c:xVal>
          <c:yVal>
            <c:numRef>
              <c:f>Regression!$C$5:$C$15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7550696"/>
        <c:axId val="1916393311"/>
      </c:scatterChart>
      <c:valAx>
        <c:axId val="15075506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 index 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16393311"/>
      </c:valAx>
      <c:valAx>
        <c:axId val="1916393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07550696"/>
      </c:valAx>
    </c:plotArea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Region (Bar)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Pivot_Summaries!$A$15:$A$19</c:f>
            </c:strRef>
          </c:cat>
          <c:val>
            <c:numRef>
              <c:f>Pivot_Summaries!$B$15:$B$19</c:f>
              <c:numCache/>
            </c:numRef>
          </c:val>
        </c:ser>
        <c:axId val="153262087"/>
        <c:axId val="1813589128"/>
      </c:barChart>
      <c:catAx>
        <c:axId val="153262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3589128"/>
      </c:catAx>
      <c:valAx>
        <c:axId val="18135891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3262087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Revenue Trend (Line) – Apr-24 and Apr-25 are partial months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Revenue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Pivot_Summaries!$Q$5:$Q$17</c:f>
            </c:strRef>
          </c:cat>
          <c:val>
            <c:numRef>
              <c:f>Pivot_Summaries!$L$5:$L$17</c:f>
              <c:numCache/>
            </c:numRef>
          </c:val>
          <c:smooth val="0"/>
        </c:ser>
        <c:axId val="650716191"/>
        <c:axId val="1344951733"/>
      </c:lineChart>
      <c:catAx>
        <c:axId val="650716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44951733"/>
      </c:catAx>
      <c:valAx>
        <c:axId val="13449517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50716191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Share by Category (Pie)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Pivot_Summaries!$B$24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Pivot_Summaries!$A$25:$A$27</c:f>
            </c:strRef>
          </c:cat>
          <c:val>
            <c:numRef>
              <c:f>Pivot_Summaries!$B$25:$B$27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Top 10 Customers by Revenue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Customer_Analysis!$O$8:$O$17</c:f>
            </c:strRef>
          </c:cat>
          <c:val>
            <c:numRef>
              <c:f>Customer_Analysis!$P$8:$P$17</c:f>
              <c:numCache/>
            </c:numRef>
          </c:val>
        </c:ser>
        <c:axId val="2066440229"/>
        <c:axId val="824056836"/>
      </c:barChart>
      <c:catAx>
        <c:axId val="206644022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24056836"/>
      </c:catAx>
      <c:valAx>
        <c:axId val="82405683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066440229"/>
        <c:crosses val="max"/>
      </c:valAx>
    </c:plotArea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Most Sold Products – Units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Units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Product_Analysis!$N$6:$N$15</c:f>
            </c:strRef>
          </c:cat>
          <c:val>
            <c:numRef>
              <c:f>Product_Analysis!$O$6:$O$15</c:f>
              <c:numCache/>
            </c:numRef>
          </c:val>
        </c:ser>
        <c:axId val="1544655822"/>
        <c:axId val="1725805339"/>
      </c:barChart>
      <c:catAx>
        <c:axId val="15446558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5805339"/>
      </c:catAx>
      <c:valAx>
        <c:axId val="17258053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4655822"/>
      </c:valAx>
    </c:plotArea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Region × Category Revenue (Stacked)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v>Appliances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Pivot_Summaries!$A$5:$A$9</c:f>
            </c:strRef>
          </c:cat>
          <c:val>
            <c:numRef>
              <c:f>Pivot_Summaries!$B$5:$B$9</c:f>
              <c:numCache/>
            </c:numRef>
          </c:val>
        </c:ser>
        <c:ser>
          <c:idx val="1"/>
          <c:order val="1"/>
          <c:tx>
            <c:v>Electronics</c:v>
          </c:tx>
          <c:spPr>
            <a:solidFill>
              <a:srgbClr val="C0504D"/>
            </a:solidFill>
            <a:ln cmpd="sng">
              <a:noFill/>
            </a:ln>
          </c:spPr>
          <c:invertIfNegative val="0"/>
          <c:cat>
            <c:strRef>
              <c:f>Pivot_Summaries!$A$5:$A$9</c:f>
            </c:strRef>
          </c:cat>
          <c:val>
            <c:numRef>
              <c:f>Pivot_Summaries!$C$5:$C$9</c:f>
              <c:numCache/>
            </c:numRef>
          </c:val>
        </c:ser>
        <c:ser>
          <c:idx val="2"/>
          <c:order val="2"/>
          <c:tx>
            <c:v>Furniture</c:v>
          </c:tx>
          <c:spPr>
            <a:solidFill>
              <a:srgbClr val="9BBB59"/>
            </a:solidFill>
            <a:ln cmpd="sng">
              <a:noFill/>
            </a:ln>
          </c:spPr>
          <c:invertIfNegative val="0"/>
          <c:cat>
            <c:strRef>
              <c:f>Pivot_Summaries!$A$5:$A$9</c:f>
            </c:strRef>
          </c:cat>
          <c:val>
            <c:numRef>
              <c:f>Pivot_Summaries!$D$5:$D$9</c:f>
              <c:numCache/>
            </c:numRef>
          </c:val>
        </c:ser>
        <c:overlap val="100"/>
        <c:axId val="648129522"/>
        <c:axId val="1756251767"/>
      </c:barChart>
      <c:catAx>
        <c:axId val="6481295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56251767"/>
      </c:catAx>
      <c:valAx>
        <c:axId val="17562517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8129522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Pivot_Summaries!$A$33:$A$36</c:f>
            </c:strRef>
          </c:cat>
          <c:val>
            <c:numRef>
              <c:f>Pivot_Summaries!$B$33:$B$36</c:f>
              <c:numCache/>
            </c:numRef>
          </c:val>
        </c:ser>
        <c:axId val="1233776774"/>
        <c:axId val="97353871"/>
      </c:barChart>
      <c:catAx>
        <c:axId val="12337767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7353871"/>
      </c:catAx>
      <c:valAx>
        <c:axId val="97353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33776774"/>
      </c:valAx>
    </c:plotArea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Customer Segment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Pivot_Summaries!$B$41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Pivot_Summaries!$A$42:$A$44</c:f>
            </c:strRef>
          </c:cat>
          <c:val>
            <c:numRef>
              <c:f>Pivot_Summaries!$B$42:$B$44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Dashboard!$H$13:$H$17</c:f>
            </c:strRef>
          </c:cat>
          <c:val>
            <c:numRef>
              <c:f>Dashboard!$I$13:$I$17</c:f>
              <c:numCache/>
            </c:numRef>
          </c:val>
        </c:ser>
        <c:axId val="1674432576"/>
        <c:axId val="69027302"/>
      </c:barChart>
      <c:catAx>
        <c:axId val="1674432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9027302"/>
      </c:catAx>
      <c:valAx>
        <c:axId val="690273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4432576"/>
      </c:valAx>
    </c:plotArea>
    <c:plotVisOnly val="1"/>
  </c:chart>
  <c:spPr>
    <a:solidFill>
      <a:srgbClr val="FFFFFF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Monthly Revenue (selection)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Revenue</c:v>
          </c:tx>
          <c:spPr>
            <a:ln cmpd="sng" w="19050">
              <a:solidFill>
                <a:srgbClr val="4F81BD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4F81BD">
                  <a:alpha val="100000"/>
                </a:srgbClr>
              </a:solidFill>
              <a:ln cmpd="sng">
                <a:solidFill>
                  <a:srgbClr val="4F81BD">
                    <a:alpha val="100000"/>
                  </a:srgbClr>
                </a:solidFill>
              </a:ln>
            </c:spPr>
          </c:marker>
          <c:cat>
            <c:strRef>
              <c:f>Dashboard!$P$4:$P$16</c:f>
            </c:strRef>
          </c:cat>
          <c:val>
            <c:numRef>
              <c:f>Dashboard!$Q$4:$Q$16</c:f>
              <c:numCache/>
            </c:numRef>
          </c:val>
          <c:smooth val="0"/>
        </c:ser>
        <c:axId val="1816199107"/>
        <c:axId val="919009011"/>
      </c:lineChart>
      <c:catAx>
        <c:axId val="18161991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9009011"/>
      </c:catAx>
      <c:valAx>
        <c:axId val="919009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816199107"/>
      </c:valAx>
    </c:plotArea>
    <c:plotVisOnly val="1"/>
  </c:chart>
  <c:spPr>
    <a:solidFill>
      <a:srgbClr val="FFFFFF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Category Mix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Dashboard!$I$20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</c:dLbl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Dashboard!$H$21:$H$23</c:f>
            </c:strRef>
          </c:cat>
          <c:val>
            <c:numRef>
              <c:f>Dashboard!$I$21:$I$23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Revenue by Product (selection)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v>Revenue</c:v>
          </c:tx>
          <c:spPr>
            <a:solidFill>
              <a:srgbClr val="4F81BD"/>
            </a:solidFill>
            <a:ln cmpd="sng">
              <a:noFill/>
            </a:ln>
          </c:spPr>
          <c:invertIfNegative val="0"/>
          <c:cat>
            <c:strRef>
              <c:f>Dashboard!$S$4:$S$13</c:f>
            </c:strRef>
          </c:cat>
          <c:val>
            <c:numRef>
              <c:f>Dashboard!$T$4:$T$13</c:f>
              <c:numCache/>
            </c:numRef>
          </c:val>
        </c:ser>
        <c:axId val="1070791960"/>
        <c:axId val="199027623"/>
      </c:barChart>
      <c:catAx>
        <c:axId val="107079196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9027623"/>
      </c:catAx>
      <c:valAx>
        <c:axId val="199027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70791960"/>
        <c:crosses val="max"/>
      </c:valAx>
    </c:plotArea>
    <c:plotVisOnly val="1"/>
  </c:chart>
  <c:spPr>
    <a:solidFill>
      <a:srgbClr val="FFFFFF"/>
    </a:solidFill>
  </c:spPr>
</c:chartSpace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Relationship Id="rId5" Type="http://schemas.openxmlformats.org/officeDocument/2006/relationships/chart" Target="../charts/chart6.xml"/><Relationship Id="rId6" Type="http://schemas.openxmlformats.org/officeDocument/2006/relationships/chart" Target="../charts/chart7.xml"/><Relationship Id="rId7" Type="http://schemas.openxmlformats.org/officeDocument/2006/relationships/chart" Target="../charts/chart8.xml"/><Relationship Id="rId8" Type="http://schemas.openxmlformats.org/officeDocument/2006/relationships/chart" Target="../charts/chart9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31</xdr:row>
      <xdr:rowOff>123825</xdr:rowOff>
    </xdr:from>
    <xdr:ext cx="5476875" cy="3019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123825</xdr:rowOff>
    </xdr:from>
    <xdr:ext cx="5476875" cy="3019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123825</xdr:rowOff>
    </xdr:from>
    <xdr:ext cx="5476875" cy="30194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19</xdr:row>
      <xdr:rowOff>123825</xdr:rowOff>
    </xdr:from>
    <xdr:ext cx="5476875" cy="30194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10</xdr:col>
      <xdr:colOff>0</xdr:colOff>
      <xdr:row>19</xdr:row>
      <xdr:rowOff>123825</xdr:rowOff>
    </xdr:from>
    <xdr:ext cx="5476875" cy="3019425"/>
    <xdr:graphicFrame>
      <xdr:nvGraphicFramePr>
        <xdr:cNvPr id="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36</xdr:row>
      <xdr:rowOff>123825</xdr:rowOff>
    </xdr:from>
    <xdr:ext cx="5476875" cy="3019425"/>
    <xdr:graphicFrame>
      <xdr:nvGraphicFramePr>
        <xdr:cNvPr id="9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10</xdr:col>
      <xdr:colOff>0</xdr:colOff>
      <xdr:row>36</xdr:row>
      <xdr:rowOff>123825</xdr:rowOff>
    </xdr:from>
    <xdr:ext cx="5476875" cy="3019425"/>
    <xdr:graphicFrame>
      <xdr:nvGraphicFramePr>
        <xdr:cNvPr id="11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53</xdr:row>
      <xdr:rowOff>123825</xdr:rowOff>
    </xdr:from>
    <xdr:ext cx="5476875" cy="3019425"/>
    <xdr:graphicFrame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10</xdr:col>
      <xdr:colOff>0</xdr:colOff>
      <xdr:row>53</xdr:row>
      <xdr:rowOff>123825</xdr:rowOff>
    </xdr:from>
    <xdr:ext cx="5476875" cy="3019425"/>
    <xdr:graphicFrame>
      <xdr:nvGraphicFramePr>
        <xdr:cNvPr id="13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26</xdr:row>
      <xdr:rowOff>76200</xdr:rowOff>
    </xdr:from>
    <xdr:ext cx="5286375" cy="28289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0</xdr:colOff>
      <xdr:row>26</xdr:row>
      <xdr:rowOff>76200</xdr:rowOff>
    </xdr:from>
    <xdr:ext cx="5305425" cy="28289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42</xdr:row>
      <xdr:rowOff>76200</xdr:rowOff>
    </xdr:from>
    <xdr:ext cx="5286375" cy="2828925"/>
    <xdr:graphicFrame>
      <xdr:nvGraphicFramePr>
        <xdr:cNvPr id="8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0</xdr:colOff>
      <xdr:row>42</xdr:row>
      <xdr:rowOff>76200</xdr:rowOff>
    </xdr:from>
    <xdr:ext cx="5305425" cy="2828925"/>
    <xdr:graphicFrame>
      <xdr:nvGraphicFramePr>
        <xdr:cNvPr id="10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4.86"/>
    <col customWidth="1" min="2" max="21" width="8.71"/>
  </cols>
  <sheetData>
    <row r="1">
      <c r="A1" s="2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7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10.86"/>
    <col customWidth="1" min="3" max="3" width="12.29"/>
    <col customWidth="1" min="4" max="4" width="15.86"/>
    <col customWidth="1" min="5" max="5" width="10.71"/>
    <col customWidth="1" min="6" max="6" width="13.86"/>
    <col customWidth="1" min="7" max="7" width="10.43"/>
    <col customWidth="1" min="8" max="8" width="8.57"/>
    <col customWidth="1" min="9" max="9" width="10.0"/>
    <col customWidth="1" min="10" max="10" width="16.43"/>
    <col customWidth="1" min="11" max="11" width="7.29"/>
    <col customWidth="1" min="12" max="12" width="17.86"/>
    <col customWidth="1" min="13" max="13" width="14.86"/>
    <col customWidth="1" min="14" max="14" width="13.14"/>
    <col customWidth="1" min="15" max="26" width="8.71"/>
  </cols>
  <sheetData>
    <row r="1">
      <c r="A1" s="10" t="s">
        <v>22</v>
      </c>
      <c r="B1" s="10" t="s">
        <v>24</v>
      </c>
      <c r="C1" s="10" t="s">
        <v>7</v>
      </c>
      <c r="D1" s="10" t="s">
        <v>8</v>
      </c>
      <c r="E1" s="10" t="s">
        <v>3</v>
      </c>
      <c r="F1" s="10" t="s">
        <v>4</v>
      </c>
      <c r="G1" s="10" t="s">
        <v>2</v>
      </c>
      <c r="H1" s="10" t="s">
        <v>27</v>
      </c>
      <c r="I1" s="10" t="s">
        <v>28</v>
      </c>
      <c r="J1" s="10" t="s">
        <v>5</v>
      </c>
      <c r="K1" s="10" t="s">
        <v>1</v>
      </c>
      <c r="L1" s="10" t="s">
        <v>6</v>
      </c>
      <c r="M1" s="10" t="s">
        <v>32</v>
      </c>
      <c r="N1" s="10" t="s">
        <v>33</v>
      </c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36</v>
      </c>
      <c r="B2" s="13">
        <v>45393.0</v>
      </c>
      <c r="C2" s="12" t="s">
        <v>37</v>
      </c>
      <c r="D2" s="12" t="s">
        <v>39</v>
      </c>
      <c r="E2" s="12" t="s">
        <v>40</v>
      </c>
      <c r="F2" s="12" t="s">
        <v>41</v>
      </c>
      <c r="G2" s="12" t="s">
        <v>42</v>
      </c>
      <c r="H2" s="12">
        <v>3.0</v>
      </c>
      <c r="I2" s="12">
        <v>249.99</v>
      </c>
      <c r="J2" s="12" t="s">
        <v>19</v>
      </c>
      <c r="K2" s="12" t="s">
        <v>13</v>
      </c>
      <c r="L2" s="12" t="s">
        <v>20</v>
      </c>
      <c r="M2" s="13">
        <v>44425.0</v>
      </c>
      <c r="N2" s="12">
        <v>749.97</v>
      </c>
    </row>
    <row r="3">
      <c r="A3" s="12" t="s">
        <v>49</v>
      </c>
      <c r="B3" s="13">
        <v>45396.0</v>
      </c>
      <c r="C3" s="12" t="s">
        <v>50</v>
      </c>
      <c r="D3" s="12" t="s">
        <v>51</v>
      </c>
      <c r="E3" s="12" t="s">
        <v>40</v>
      </c>
      <c r="F3" s="12" t="s">
        <v>41</v>
      </c>
      <c r="G3" s="12" t="s">
        <v>42</v>
      </c>
      <c r="H3" s="12">
        <v>3.0</v>
      </c>
      <c r="I3" s="12">
        <v>249.99</v>
      </c>
      <c r="J3" s="12" t="s">
        <v>46</v>
      </c>
      <c r="K3" s="12" t="s">
        <v>13</v>
      </c>
      <c r="L3" s="12" t="s">
        <v>47</v>
      </c>
      <c r="M3" s="13">
        <v>44575.0</v>
      </c>
      <c r="N3" s="12">
        <v>749.97</v>
      </c>
    </row>
    <row r="4">
      <c r="A4" s="12" t="s">
        <v>52</v>
      </c>
      <c r="B4" s="13">
        <v>45399.0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14</v>
      </c>
      <c r="H4" s="12">
        <v>3.0</v>
      </c>
      <c r="I4" s="12">
        <v>59.99</v>
      </c>
      <c r="J4" s="12" t="s">
        <v>57</v>
      </c>
      <c r="K4" s="12" t="s">
        <v>58</v>
      </c>
      <c r="L4" s="12" t="s">
        <v>59</v>
      </c>
      <c r="M4" s="13">
        <v>45262.0</v>
      </c>
      <c r="N4" s="12">
        <v>179.97</v>
      </c>
    </row>
    <row r="5">
      <c r="A5" s="12" t="s">
        <v>61</v>
      </c>
      <c r="B5" s="13">
        <v>45400.0</v>
      </c>
      <c r="C5" s="12" t="s">
        <v>64</v>
      </c>
      <c r="D5" s="12" t="s">
        <v>66</v>
      </c>
      <c r="E5" s="12" t="s">
        <v>55</v>
      </c>
      <c r="F5" s="12" t="s">
        <v>56</v>
      </c>
      <c r="G5" s="12" t="s">
        <v>14</v>
      </c>
      <c r="H5" s="12">
        <v>3.0</v>
      </c>
      <c r="I5" s="12">
        <v>59.99</v>
      </c>
      <c r="J5" s="12" t="s">
        <v>19</v>
      </c>
      <c r="K5" s="12" t="s">
        <v>60</v>
      </c>
      <c r="L5" s="12" t="s">
        <v>47</v>
      </c>
      <c r="M5" s="13">
        <v>45114.0</v>
      </c>
      <c r="N5" s="12">
        <v>179.97</v>
      </c>
    </row>
    <row r="6">
      <c r="A6" s="12" t="s">
        <v>69</v>
      </c>
      <c r="B6" s="13">
        <v>45400.0</v>
      </c>
      <c r="C6" s="12" t="s">
        <v>68</v>
      </c>
      <c r="D6" s="12" t="s">
        <v>70</v>
      </c>
      <c r="E6" s="12" t="s">
        <v>71</v>
      </c>
      <c r="F6" s="12" t="s">
        <v>72</v>
      </c>
      <c r="G6" s="12" t="s">
        <v>62</v>
      </c>
      <c r="H6" s="12">
        <v>5.0</v>
      </c>
      <c r="I6" s="12">
        <v>149.99</v>
      </c>
      <c r="J6" s="12" t="s">
        <v>46</v>
      </c>
      <c r="K6" s="12" t="s">
        <v>60</v>
      </c>
      <c r="L6" s="12" t="s">
        <v>47</v>
      </c>
      <c r="M6" s="13">
        <v>45295.0</v>
      </c>
      <c r="N6" s="12">
        <v>749.95</v>
      </c>
    </row>
    <row r="7">
      <c r="A7" s="12" t="s">
        <v>73</v>
      </c>
      <c r="B7" s="13">
        <v>45403.0</v>
      </c>
      <c r="C7" s="12" t="s">
        <v>74</v>
      </c>
      <c r="D7" s="12" t="s">
        <v>75</v>
      </c>
      <c r="E7" s="12" t="s">
        <v>55</v>
      </c>
      <c r="F7" s="12" t="s">
        <v>56</v>
      </c>
      <c r="G7" s="12" t="s">
        <v>14</v>
      </c>
      <c r="H7" s="12">
        <v>2.0</v>
      </c>
      <c r="I7" s="12">
        <v>59.99</v>
      </c>
      <c r="J7" s="12" t="s">
        <v>19</v>
      </c>
      <c r="K7" s="12" t="s">
        <v>79</v>
      </c>
      <c r="L7" s="12" t="s">
        <v>59</v>
      </c>
      <c r="M7" s="13">
        <v>44746.0</v>
      </c>
      <c r="N7" s="12">
        <v>119.98</v>
      </c>
    </row>
    <row r="8">
      <c r="A8" s="12" t="s">
        <v>80</v>
      </c>
      <c r="B8" s="13">
        <v>45403.0</v>
      </c>
      <c r="C8" s="12" t="s">
        <v>74</v>
      </c>
      <c r="D8" s="12" t="s">
        <v>75</v>
      </c>
      <c r="E8" s="12" t="s">
        <v>63</v>
      </c>
      <c r="F8" s="12" t="s">
        <v>65</v>
      </c>
      <c r="G8" s="12" t="s">
        <v>42</v>
      </c>
      <c r="H8" s="12">
        <v>5.0</v>
      </c>
      <c r="I8" s="12">
        <v>149.99</v>
      </c>
      <c r="J8" s="12" t="s">
        <v>46</v>
      </c>
      <c r="K8" s="12" t="s">
        <v>13</v>
      </c>
      <c r="L8" s="12" t="s">
        <v>59</v>
      </c>
      <c r="M8" s="13">
        <v>44418.0</v>
      </c>
      <c r="N8" s="12">
        <v>749.95</v>
      </c>
    </row>
    <row r="9">
      <c r="A9" s="12" t="s">
        <v>82</v>
      </c>
      <c r="B9" s="13">
        <v>45403.0</v>
      </c>
      <c r="C9" s="12" t="s">
        <v>83</v>
      </c>
      <c r="D9" s="12" t="s">
        <v>84</v>
      </c>
      <c r="E9" s="12" t="s">
        <v>55</v>
      </c>
      <c r="F9" s="12" t="s">
        <v>56</v>
      </c>
      <c r="G9" s="12" t="s">
        <v>14</v>
      </c>
      <c r="H9" s="12">
        <v>3.0</v>
      </c>
      <c r="I9" s="12">
        <v>59.99</v>
      </c>
      <c r="J9" s="12" t="s">
        <v>67</v>
      </c>
      <c r="K9" s="12" t="s">
        <v>58</v>
      </c>
      <c r="L9" s="12" t="s">
        <v>20</v>
      </c>
      <c r="M9" s="13">
        <v>45007.0</v>
      </c>
      <c r="N9" s="12">
        <v>179.97</v>
      </c>
    </row>
    <row r="10">
      <c r="A10" s="12" t="s">
        <v>85</v>
      </c>
      <c r="B10" s="13">
        <v>45405.0</v>
      </c>
      <c r="C10" s="12" t="s">
        <v>86</v>
      </c>
      <c r="D10" s="12" t="s">
        <v>88</v>
      </c>
      <c r="E10" s="12" t="s">
        <v>16</v>
      </c>
      <c r="F10" s="12" t="s">
        <v>18</v>
      </c>
      <c r="G10" s="12" t="s">
        <v>42</v>
      </c>
      <c r="H10" s="12">
        <v>3.0</v>
      </c>
      <c r="I10" s="12">
        <v>899.99</v>
      </c>
      <c r="J10" s="12" t="s">
        <v>57</v>
      </c>
      <c r="K10" s="12" t="s">
        <v>43</v>
      </c>
      <c r="L10" s="12" t="s">
        <v>59</v>
      </c>
      <c r="M10" s="13">
        <v>45299.0</v>
      </c>
      <c r="N10" s="12">
        <v>2699.97</v>
      </c>
    </row>
    <row r="11">
      <c r="A11" s="12" t="s">
        <v>91</v>
      </c>
      <c r="B11" s="13">
        <v>45408.0</v>
      </c>
      <c r="C11" s="12" t="s">
        <v>92</v>
      </c>
      <c r="D11" s="12" t="s">
        <v>93</v>
      </c>
      <c r="E11" s="12" t="s">
        <v>55</v>
      </c>
      <c r="F11" s="12" t="s">
        <v>56</v>
      </c>
      <c r="G11" s="12" t="s">
        <v>14</v>
      </c>
      <c r="H11" s="12">
        <v>3.0</v>
      </c>
      <c r="I11" s="12">
        <v>59.99</v>
      </c>
      <c r="J11" s="12" t="s">
        <v>19</v>
      </c>
      <c r="K11" s="12" t="s">
        <v>79</v>
      </c>
      <c r="L11" s="12" t="s">
        <v>47</v>
      </c>
      <c r="M11" s="13">
        <v>45207.0</v>
      </c>
      <c r="N11" s="12">
        <v>179.97</v>
      </c>
    </row>
    <row r="12">
      <c r="A12" s="12" t="s">
        <v>97</v>
      </c>
      <c r="B12" s="13">
        <v>45408.0</v>
      </c>
      <c r="C12" s="12" t="s">
        <v>98</v>
      </c>
      <c r="D12" s="12" t="s">
        <v>99</v>
      </c>
      <c r="E12" s="12" t="s">
        <v>71</v>
      </c>
      <c r="F12" s="12" t="s">
        <v>72</v>
      </c>
      <c r="G12" s="12" t="s">
        <v>62</v>
      </c>
      <c r="H12" s="12">
        <v>1.0</v>
      </c>
      <c r="I12" s="12">
        <v>149.99</v>
      </c>
      <c r="J12" s="12" t="s">
        <v>46</v>
      </c>
      <c r="K12" s="12" t="s">
        <v>79</v>
      </c>
      <c r="L12" s="12" t="s">
        <v>59</v>
      </c>
      <c r="M12" s="13">
        <v>45103.0</v>
      </c>
      <c r="N12" s="12">
        <v>149.99</v>
      </c>
    </row>
    <row r="13">
      <c r="A13" s="12" t="s">
        <v>100</v>
      </c>
      <c r="B13" s="13">
        <v>45408.0</v>
      </c>
      <c r="C13" s="12" t="s">
        <v>64</v>
      </c>
      <c r="D13" s="12" t="s">
        <v>66</v>
      </c>
      <c r="E13" s="12" t="s">
        <v>71</v>
      </c>
      <c r="F13" s="12" t="s">
        <v>72</v>
      </c>
      <c r="G13" s="12" t="s">
        <v>62</v>
      </c>
      <c r="H13" s="12">
        <v>5.0</v>
      </c>
      <c r="I13" s="12">
        <v>149.99</v>
      </c>
      <c r="J13" s="12" t="s">
        <v>67</v>
      </c>
      <c r="K13" s="12" t="s">
        <v>60</v>
      </c>
      <c r="L13" s="12" t="s">
        <v>20</v>
      </c>
      <c r="M13" s="13">
        <v>44830.0</v>
      </c>
      <c r="N13" s="12">
        <v>749.95</v>
      </c>
    </row>
    <row r="14">
      <c r="A14" s="12" t="s">
        <v>102</v>
      </c>
      <c r="B14" s="13">
        <v>45408.0</v>
      </c>
      <c r="C14" s="12" t="s">
        <v>103</v>
      </c>
      <c r="D14" s="12" t="s">
        <v>104</v>
      </c>
      <c r="E14" s="12" t="s">
        <v>71</v>
      </c>
      <c r="F14" s="12" t="s">
        <v>72</v>
      </c>
      <c r="G14" s="12" t="s">
        <v>62</v>
      </c>
      <c r="H14" s="12">
        <v>3.0</v>
      </c>
      <c r="I14" s="12">
        <v>149.99</v>
      </c>
      <c r="J14" s="12" t="s">
        <v>19</v>
      </c>
      <c r="K14" s="12" t="s">
        <v>60</v>
      </c>
      <c r="L14" s="12" t="s">
        <v>47</v>
      </c>
      <c r="M14" s="13">
        <v>44806.0</v>
      </c>
      <c r="N14" s="12">
        <v>449.97</v>
      </c>
    </row>
    <row r="15">
      <c r="A15" s="12" t="s">
        <v>105</v>
      </c>
      <c r="B15" s="13">
        <v>45409.0</v>
      </c>
      <c r="C15" s="12" t="s">
        <v>106</v>
      </c>
      <c r="D15" s="12" t="s">
        <v>107</v>
      </c>
      <c r="E15" s="12" t="s">
        <v>55</v>
      </c>
      <c r="F15" s="12" t="s">
        <v>56</v>
      </c>
      <c r="G15" s="12" t="s">
        <v>14</v>
      </c>
      <c r="H15" s="12">
        <v>3.0</v>
      </c>
      <c r="I15" s="12">
        <v>59.99</v>
      </c>
      <c r="J15" s="12" t="s">
        <v>46</v>
      </c>
      <c r="K15" s="12" t="s">
        <v>60</v>
      </c>
      <c r="L15" s="12" t="s">
        <v>59</v>
      </c>
      <c r="M15" s="13">
        <v>45351.0</v>
      </c>
      <c r="N15" s="12">
        <v>179.97</v>
      </c>
    </row>
    <row r="16">
      <c r="A16" s="12" t="s">
        <v>108</v>
      </c>
      <c r="B16" s="13">
        <v>45409.0</v>
      </c>
      <c r="C16" s="12" t="s">
        <v>109</v>
      </c>
      <c r="D16" s="12" t="s">
        <v>110</v>
      </c>
      <c r="E16" s="12" t="s">
        <v>44</v>
      </c>
      <c r="F16" s="12" t="s">
        <v>45</v>
      </c>
      <c r="G16" s="12" t="s">
        <v>42</v>
      </c>
      <c r="H16" s="12">
        <v>3.0</v>
      </c>
      <c r="I16" s="12">
        <v>699.99</v>
      </c>
      <c r="J16" s="12" t="s">
        <v>46</v>
      </c>
      <c r="K16" s="12" t="s">
        <v>79</v>
      </c>
      <c r="L16" s="12" t="s">
        <v>20</v>
      </c>
      <c r="M16" s="13">
        <v>44577.0</v>
      </c>
      <c r="N16" s="12">
        <v>2099.97</v>
      </c>
    </row>
    <row r="17">
      <c r="A17" s="12" t="s">
        <v>114</v>
      </c>
      <c r="B17" s="13">
        <v>45409.0</v>
      </c>
      <c r="C17" s="12" t="s">
        <v>115</v>
      </c>
      <c r="D17" s="12" t="s">
        <v>116</v>
      </c>
      <c r="E17" s="12" t="s">
        <v>16</v>
      </c>
      <c r="F17" s="12" t="s">
        <v>18</v>
      </c>
      <c r="G17" s="12" t="s">
        <v>42</v>
      </c>
      <c r="H17" s="12">
        <v>1.0</v>
      </c>
      <c r="I17" s="12">
        <v>899.99</v>
      </c>
      <c r="J17" s="12" t="s">
        <v>67</v>
      </c>
      <c r="K17" s="12" t="s">
        <v>60</v>
      </c>
      <c r="L17" s="12" t="s">
        <v>59</v>
      </c>
      <c r="M17" s="13">
        <v>44920.0</v>
      </c>
      <c r="N17" s="12">
        <v>899.99</v>
      </c>
    </row>
    <row r="18">
      <c r="A18" s="12" t="s">
        <v>117</v>
      </c>
      <c r="B18" s="13">
        <v>45410.0</v>
      </c>
      <c r="C18" s="12" t="s">
        <v>118</v>
      </c>
      <c r="D18" s="12" t="s">
        <v>119</v>
      </c>
      <c r="E18" s="12" t="s">
        <v>71</v>
      </c>
      <c r="F18" s="12" t="s">
        <v>72</v>
      </c>
      <c r="G18" s="12" t="s">
        <v>62</v>
      </c>
      <c r="H18" s="12">
        <v>4.0</v>
      </c>
      <c r="I18" s="12">
        <v>149.99</v>
      </c>
      <c r="J18" s="12" t="s">
        <v>67</v>
      </c>
      <c r="K18" s="12" t="s">
        <v>60</v>
      </c>
      <c r="L18" s="12" t="s">
        <v>47</v>
      </c>
      <c r="M18" s="13">
        <v>45374.0</v>
      </c>
      <c r="N18" s="12">
        <v>599.96</v>
      </c>
    </row>
    <row r="19">
      <c r="A19" s="12" t="s">
        <v>122</v>
      </c>
      <c r="B19" s="13">
        <v>45410.0</v>
      </c>
      <c r="C19" s="12" t="s">
        <v>113</v>
      </c>
      <c r="D19" s="12" t="s">
        <v>123</v>
      </c>
      <c r="E19" s="12" t="s">
        <v>44</v>
      </c>
      <c r="F19" s="12" t="s">
        <v>45</v>
      </c>
      <c r="G19" s="12" t="s">
        <v>42</v>
      </c>
      <c r="H19" s="12">
        <v>2.0</v>
      </c>
      <c r="I19" s="12">
        <v>699.99</v>
      </c>
      <c r="J19" s="12" t="s">
        <v>19</v>
      </c>
      <c r="K19" s="12" t="s">
        <v>60</v>
      </c>
      <c r="L19" s="12" t="s">
        <v>20</v>
      </c>
      <c r="M19" s="13">
        <v>44781.0</v>
      </c>
      <c r="N19" s="12">
        <v>1399.98</v>
      </c>
    </row>
    <row r="20">
      <c r="A20" s="12" t="s">
        <v>124</v>
      </c>
      <c r="B20" s="13">
        <v>45410.0</v>
      </c>
      <c r="C20" s="12" t="s">
        <v>118</v>
      </c>
      <c r="D20" s="12" t="s">
        <v>119</v>
      </c>
      <c r="E20" s="12" t="s">
        <v>16</v>
      </c>
      <c r="F20" s="12" t="s">
        <v>18</v>
      </c>
      <c r="G20" s="12" t="s">
        <v>42</v>
      </c>
      <c r="H20" s="12">
        <v>4.0</v>
      </c>
      <c r="I20" s="12">
        <v>899.99</v>
      </c>
      <c r="J20" s="12" t="s">
        <v>46</v>
      </c>
      <c r="K20" s="12" t="s">
        <v>79</v>
      </c>
      <c r="L20" s="12" t="s">
        <v>59</v>
      </c>
      <c r="M20" s="13">
        <v>45327.0</v>
      </c>
      <c r="N20" s="12">
        <v>3599.96</v>
      </c>
    </row>
    <row r="21" ht="15.75" customHeight="1">
      <c r="A21" s="12" t="s">
        <v>126</v>
      </c>
      <c r="B21" s="13">
        <v>45410.0</v>
      </c>
      <c r="C21" s="12" t="s">
        <v>127</v>
      </c>
      <c r="D21" s="12" t="s">
        <v>128</v>
      </c>
      <c r="E21" s="12" t="s">
        <v>40</v>
      </c>
      <c r="F21" s="12" t="s">
        <v>41</v>
      </c>
      <c r="G21" s="12" t="s">
        <v>42</v>
      </c>
      <c r="H21" s="12">
        <v>3.0</v>
      </c>
      <c r="I21" s="12">
        <v>249.99</v>
      </c>
      <c r="J21" s="12" t="s">
        <v>46</v>
      </c>
      <c r="K21" s="12" t="s">
        <v>60</v>
      </c>
      <c r="L21" s="12" t="s">
        <v>47</v>
      </c>
      <c r="M21" s="13">
        <v>45224.0</v>
      </c>
      <c r="N21" s="12">
        <v>749.97</v>
      </c>
    </row>
    <row r="22" ht="15.75" customHeight="1">
      <c r="A22" s="12" t="s">
        <v>129</v>
      </c>
      <c r="B22" s="13">
        <v>45412.0</v>
      </c>
      <c r="C22" s="12" t="s">
        <v>130</v>
      </c>
      <c r="D22" s="12" t="s">
        <v>131</v>
      </c>
      <c r="E22" s="12" t="s">
        <v>44</v>
      </c>
      <c r="F22" s="12" t="s">
        <v>45</v>
      </c>
      <c r="G22" s="12" t="s">
        <v>42</v>
      </c>
      <c r="H22" s="12">
        <v>5.0</v>
      </c>
      <c r="I22" s="12">
        <v>699.99</v>
      </c>
      <c r="J22" s="12" t="s">
        <v>19</v>
      </c>
      <c r="K22" s="12" t="s">
        <v>79</v>
      </c>
      <c r="L22" s="12" t="s">
        <v>20</v>
      </c>
      <c r="M22" s="13">
        <v>45167.0</v>
      </c>
      <c r="N22" s="12">
        <v>3499.95</v>
      </c>
    </row>
    <row r="23" ht="15.75" customHeight="1">
      <c r="A23" s="12" t="s">
        <v>132</v>
      </c>
      <c r="B23" s="13">
        <v>45413.0</v>
      </c>
      <c r="C23" s="12" t="s">
        <v>121</v>
      </c>
      <c r="D23" s="12" t="s">
        <v>134</v>
      </c>
      <c r="E23" s="12" t="s">
        <v>44</v>
      </c>
      <c r="F23" s="12" t="s">
        <v>45</v>
      </c>
      <c r="G23" s="12" t="s">
        <v>42</v>
      </c>
      <c r="H23" s="12">
        <v>4.0</v>
      </c>
      <c r="I23" s="12">
        <v>699.99</v>
      </c>
      <c r="J23" s="12" t="s">
        <v>19</v>
      </c>
      <c r="K23" s="12" t="s">
        <v>43</v>
      </c>
      <c r="L23" s="12" t="s">
        <v>59</v>
      </c>
      <c r="M23" s="13">
        <v>44409.0</v>
      </c>
      <c r="N23" s="12">
        <v>2799.96</v>
      </c>
    </row>
    <row r="24" ht="15.75" customHeight="1">
      <c r="A24" s="12" t="s">
        <v>135</v>
      </c>
      <c r="B24" s="13">
        <v>45415.0</v>
      </c>
      <c r="C24" s="12" t="s">
        <v>136</v>
      </c>
      <c r="D24" s="12" t="s">
        <v>137</v>
      </c>
      <c r="E24" s="12" t="s">
        <v>40</v>
      </c>
      <c r="F24" s="12" t="s">
        <v>41</v>
      </c>
      <c r="G24" s="12" t="s">
        <v>42</v>
      </c>
      <c r="H24" s="12">
        <v>4.0</v>
      </c>
      <c r="I24" s="12">
        <v>249.99</v>
      </c>
      <c r="J24" s="12" t="s">
        <v>57</v>
      </c>
      <c r="K24" s="12" t="s">
        <v>60</v>
      </c>
      <c r="L24" s="12" t="s">
        <v>59</v>
      </c>
      <c r="M24" s="13">
        <v>44468.0</v>
      </c>
      <c r="N24" s="12">
        <v>999.96</v>
      </c>
    </row>
    <row r="25" ht="15.75" customHeight="1">
      <c r="A25" s="12" t="s">
        <v>138</v>
      </c>
      <c r="B25" s="13">
        <v>45416.0</v>
      </c>
      <c r="C25" s="12" t="s">
        <v>118</v>
      </c>
      <c r="D25" s="12" t="s">
        <v>119</v>
      </c>
      <c r="E25" s="12" t="s">
        <v>94</v>
      </c>
      <c r="F25" s="12" t="s">
        <v>95</v>
      </c>
      <c r="G25" s="12" t="s">
        <v>62</v>
      </c>
      <c r="H25" s="12">
        <v>4.0</v>
      </c>
      <c r="I25" s="12">
        <v>299.99</v>
      </c>
      <c r="J25" s="12" t="s">
        <v>19</v>
      </c>
      <c r="K25" s="12" t="s">
        <v>79</v>
      </c>
      <c r="L25" s="12" t="s">
        <v>47</v>
      </c>
      <c r="M25" s="13">
        <v>44716.0</v>
      </c>
      <c r="N25" s="12">
        <v>1199.96</v>
      </c>
    </row>
    <row r="26" ht="15.75" customHeight="1">
      <c r="A26" s="12" t="s">
        <v>141</v>
      </c>
      <c r="B26" s="13">
        <v>45422.0</v>
      </c>
      <c r="C26" s="12" t="s">
        <v>142</v>
      </c>
      <c r="D26" s="12" t="s">
        <v>143</v>
      </c>
      <c r="E26" s="12" t="s">
        <v>40</v>
      </c>
      <c r="F26" s="12" t="s">
        <v>41</v>
      </c>
      <c r="G26" s="12" t="s">
        <v>42</v>
      </c>
      <c r="H26" s="12">
        <v>5.0</v>
      </c>
      <c r="I26" s="12">
        <v>249.99</v>
      </c>
      <c r="J26" s="12" t="s">
        <v>46</v>
      </c>
      <c r="K26" s="12" t="s">
        <v>79</v>
      </c>
      <c r="L26" s="12" t="s">
        <v>59</v>
      </c>
      <c r="M26" s="13">
        <v>44525.0</v>
      </c>
      <c r="N26" s="12">
        <v>1249.95</v>
      </c>
    </row>
    <row r="27" ht="15.75" customHeight="1">
      <c r="A27" s="12" t="s">
        <v>144</v>
      </c>
      <c r="B27" s="13">
        <v>45424.0</v>
      </c>
      <c r="C27" s="12" t="s">
        <v>98</v>
      </c>
      <c r="D27" s="12" t="s">
        <v>99</v>
      </c>
      <c r="E27" s="12" t="s">
        <v>94</v>
      </c>
      <c r="F27" s="12" t="s">
        <v>95</v>
      </c>
      <c r="G27" s="12" t="s">
        <v>62</v>
      </c>
      <c r="H27" s="12">
        <v>5.0</v>
      </c>
      <c r="I27" s="12">
        <v>299.99</v>
      </c>
      <c r="J27" s="12" t="s">
        <v>57</v>
      </c>
      <c r="K27" s="12" t="s">
        <v>43</v>
      </c>
      <c r="L27" s="12" t="s">
        <v>20</v>
      </c>
      <c r="M27" s="13">
        <v>45168.0</v>
      </c>
      <c r="N27" s="12">
        <v>1499.95</v>
      </c>
    </row>
    <row r="28" ht="15.75" customHeight="1">
      <c r="A28" s="12" t="s">
        <v>145</v>
      </c>
      <c r="B28" s="13">
        <v>45424.0</v>
      </c>
      <c r="C28" s="12" t="s">
        <v>125</v>
      </c>
      <c r="D28" s="12" t="s">
        <v>146</v>
      </c>
      <c r="E28" s="12" t="s">
        <v>76</v>
      </c>
      <c r="F28" s="12" t="s">
        <v>77</v>
      </c>
      <c r="G28" s="12" t="s">
        <v>14</v>
      </c>
      <c r="H28" s="12">
        <v>3.0</v>
      </c>
      <c r="I28" s="12">
        <v>79.99</v>
      </c>
      <c r="J28" s="12" t="s">
        <v>57</v>
      </c>
      <c r="K28" s="12" t="s">
        <v>43</v>
      </c>
      <c r="L28" s="12" t="s">
        <v>47</v>
      </c>
      <c r="M28" s="13">
        <v>45012.0</v>
      </c>
      <c r="N28" s="12">
        <v>239.97</v>
      </c>
    </row>
    <row r="29" ht="15.75" customHeight="1">
      <c r="A29" s="12" t="s">
        <v>147</v>
      </c>
      <c r="B29" s="13">
        <v>45424.0</v>
      </c>
      <c r="C29" s="12" t="s">
        <v>121</v>
      </c>
      <c r="D29" s="12" t="s">
        <v>134</v>
      </c>
      <c r="E29" s="12" t="s">
        <v>111</v>
      </c>
      <c r="F29" s="12" t="s">
        <v>112</v>
      </c>
      <c r="G29" s="12" t="s">
        <v>42</v>
      </c>
      <c r="H29" s="12">
        <v>5.0</v>
      </c>
      <c r="I29" s="12">
        <v>89.99</v>
      </c>
      <c r="J29" s="12" t="s">
        <v>19</v>
      </c>
      <c r="K29" s="12" t="s">
        <v>60</v>
      </c>
      <c r="L29" s="12" t="s">
        <v>47</v>
      </c>
      <c r="M29" s="13">
        <v>44919.0</v>
      </c>
      <c r="N29" s="12">
        <v>449.95</v>
      </c>
    </row>
    <row r="30" ht="15.75" customHeight="1">
      <c r="A30" s="12" t="s">
        <v>148</v>
      </c>
      <c r="B30" s="13">
        <v>45425.0</v>
      </c>
      <c r="C30" s="12" t="s">
        <v>149</v>
      </c>
      <c r="D30" s="12" t="s">
        <v>150</v>
      </c>
      <c r="E30" s="12" t="s">
        <v>55</v>
      </c>
      <c r="F30" s="12" t="s">
        <v>56</v>
      </c>
      <c r="G30" s="12" t="s">
        <v>14</v>
      </c>
      <c r="H30" s="12">
        <v>2.0</v>
      </c>
      <c r="I30" s="12">
        <v>59.99</v>
      </c>
      <c r="J30" s="12" t="s">
        <v>67</v>
      </c>
      <c r="K30" s="12" t="s">
        <v>13</v>
      </c>
      <c r="L30" s="12" t="s">
        <v>59</v>
      </c>
      <c r="M30" s="13">
        <v>45214.0</v>
      </c>
      <c r="N30" s="12">
        <v>119.98</v>
      </c>
    </row>
    <row r="31" ht="15.75" customHeight="1">
      <c r="A31" s="12" t="s">
        <v>152</v>
      </c>
      <c r="B31" s="13">
        <v>45427.0</v>
      </c>
      <c r="C31" s="12" t="s">
        <v>153</v>
      </c>
      <c r="D31" s="12" t="s">
        <v>154</v>
      </c>
      <c r="E31" s="12" t="s">
        <v>55</v>
      </c>
      <c r="F31" s="12" t="s">
        <v>56</v>
      </c>
      <c r="G31" s="12" t="s">
        <v>14</v>
      </c>
      <c r="H31" s="12">
        <v>4.0</v>
      </c>
      <c r="I31" s="12">
        <v>59.99</v>
      </c>
      <c r="J31" s="12" t="s">
        <v>67</v>
      </c>
      <c r="K31" s="12" t="s">
        <v>43</v>
      </c>
      <c r="L31" s="12" t="s">
        <v>59</v>
      </c>
      <c r="M31" s="13">
        <v>44867.0</v>
      </c>
      <c r="N31" s="12">
        <v>239.96</v>
      </c>
    </row>
    <row r="32" ht="15.75" customHeight="1">
      <c r="A32" s="12" t="s">
        <v>155</v>
      </c>
      <c r="B32" s="13">
        <v>45427.0</v>
      </c>
      <c r="C32" s="12" t="s">
        <v>83</v>
      </c>
      <c r="D32" s="12" t="s">
        <v>84</v>
      </c>
      <c r="E32" s="12" t="s">
        <v>87</v>
      </c>
      <c r="F32" s="12" t="s">
        <v>89</v>
      </c>
      <c r="G32" s="12" t="s">
        <v>62</v>
      </c>
      <c r="H32" s="12">
        <v>5.0</v>
      </c>
      <c r="I32" s="12">
        <v>199.99</v>
      </c>
      <c r="J32" s="12" t="s">
        <v>19</v>
      </c>
      <c r="K32" s="12" t="s">
        <v>58</v>
      </c>
      <c r="L32" s="12" t="s">
        <v>59</v>
      </c>
      <c r="M32" s="13">
        <v>44412.0</v>
      </c>
      <c r="N32" s="12">
        <v>999.95</v>
      </c>
    </row>
    <row r="33" ht="15.75" customHeight="1">
      <c r="A33" s="12" t="s">
        <v>157</v>
      </c>
      <c r="B33" s="13">
        <v>45428.0</v>
      </c>
      <c r="C33" s="12" t="s">
        <v>90</v>
      </c>
      <c r="D33" s="12" t="s">
        <v>158</v>
      </c>
      <c r="E33" s="12" t="s">
        <v>71</v>
      </c>
      <c r="F33" s="12" t="s">
        <v>72</v>
      </c>
      <c r="G33" s="12" t="s">
        <v>62</v>
      </c>
      <c r="H33" s="12">
        <v>2.0</v>
      </c>
      <c r="I33" s="12">
        <v>149.99</v>
      </c>
      <c r="J33" s="12" t="s">
        <v>46</v>
      </c>
      <c r="K33" s="12" t="s">
        <v>79</v>
      </c>
      <c r="L33" s="12" t="s">
        <v>20</v>
      </c>
      <c r="M33" s="13">
        <v>44823.0</v>
      </c>
      <c r="N33" s="12">
        <v>299.98</v>
      </c>
    </row>
    <row r="34" ht="15.75" customHeight="1">
      <c r="A34" s="12" t="s">
        <v>159</v>
      </c>
      <c r="B34" s="13">
        <v>45430.0</v>
      </c>
      <c r="C34" s="12" t="s">
        <v>48</v>
      </c>
      <c r="D34" s="12" t="s">
        <v>160</v>
      </c>
      <c r="E34" s="12" t="s">
        <v>71</v>
      </c>
      <c r="F34" s="12" t="s">
        <v>72</v>
      </c>
      <c r="G34" s="12" t="s">
        <v>62</v>
      </c>
      <c r="H34" s="12">
        <v>3.0</v>
      </c>
      <c r="I34" s="12">
        <v>149.99</v>
      </c>
      <c r="J34" s="12" t="s">
        <v>46</v>
      </c>
      <c r="K34" s="12" t="s">
        <v>79</v>
      </c>
      <c r="L34" s="12" t="s">
        <v>47</v>
      </c>
      <c r="M34" s="13">
        <v>45068.0</v>
      </c>
      <c r="N34" s="12">
        <v>449.97</v>
      </c>
    </row>
    <row r="35" ht="15.75" customHeight="1">
      <c r="A35" s="12" t="s">
        <v>161</v>
      </c>
      <c r="B35" s="13">
        <v>45432.0</v>
      </c>
      <c r="C35" s="12" t="s">
        <v>53</v>
      </c>
      <c r="D35" s="12" t="s">
        <v>54</v>
      </c>
      <c r="E35" s="12" t="s">
        <v>16</v>
      </c>
      <c r="F35" s="12" t="s">
        <v>18</v>
      </c>
      <c r="G35" s="12" t="s">
        <v>42</v>
      </c>
      <c r="H35" s="12">
        <v>1.0</v>
      </c>
      <c r="I35" s="12">
        <v>899.99</v>
      </c>
      <c r="J35" s="12" t="s">
        <v>46</v>
      </c>
      <c r="K35" s="12" t="s">
        <v>79</v>
      </c>
      <c r="L35" s="12" t="s">
        <v>47</v>
      </c>
      <c r="M35" s="13">
        <v>44578.0</v>
      </c>
      <c r="N35" s="12">
        <v>899.99</v>
      </c>
    </row>
    <row r="36" ht="15.75" customHeight="1">
      <c r="A36" s="12" t="s">
        <v>162</v>
      </c>
      <c r="B36" s="13">
        <v>45434.0</v>
      </c>
      <c r="C36" s="12" t="s">
        <v>121</v>
      </c>
      <c r="D36" s="12" t="s">
        <v>134</v>
      </c>
      <c r="E36" s="12" t="s">
        <v>94</v>
      </c>
      <c r="F36" s="12" t="s">
        <v>95</v>
      </c>
      <c r="G36" s="12" t="s">
        <v>62</v>
      </c>
      <c r="H36" s="12">
        <v>3.0</v>
      </c>
      <c r="I36" s="12">
        <v>299.99</v>
      </c>
      <c r="J36" s="12" t="s">
        <v>46</v>
      </c>
      <c r="K36" s="12" t="s">
        <v>43</v>
      </c>
      <c r="L36" s="12" t="s">
        <v>20</v>
      </c>
      <c r="M36" s="13">
        <v>44824.0</v>
      </c>
      <c r="N36" s="12">
        <v>899.97</v>
      </c>
    </row>
    <row r="37" ht="15.75" customHeight="1">
      <c r="A37" s="12" t="s">
        <v>163</v>
      </c>
      <c r="B37" s="13">
        <v>45435.0</v>
      </c>
      <c r="C37" s="12" t="s">
        <v>90</v>
      </c>
      <c r="D37" s="12" t="s">
        <v>158</v>
      </c>
      <c r="E37" s="12" t="s">
        <v>76</v>
      </c>
      <c r="F37" s="12" t="s">
        <v>77</v>
      </c>
      <c r="G37" s="12" t="s">
        <v>14</v>
      </c>
      <c r="H37" s="12">
        <v>3.0</v>
      </c>
      <c r="I37" s="12">
        <v>79.99</v>
      </c>
      <c r="J37" s="12" t="s">
        <v>19</v>
      </c>
      <c r="K37" s="12" t="s">
        <v>58</v>
      </c>
      <c r="L37" s="12" t="s">
        <v>20</v>
      </c>
      <c r="M37" s="13">
        <v>45046.0</v>
      </c>
      <c r="N37" s="12">
        <v>239.97</v>
      </c>
    </row>
    <row r="38" ht="15.75" customHeight="1">
      <c r="A38" s="12" t="s">
        <v>164</v>
      </c>
      <c r="B38" s="13">
        <v>45438.0</v>
      </c>
      <c r="C38" s="12" t="s">
        <v>165</v>
      </c>
      <c r="D38" s="12" t="s">
        <v>166</v>
      </c>
      <c r="E38" s="12" t="s">
        <v>87</v>
      </c>
      <c r="F38" s="12" t="s">
        <v>89</v>
      </c>
      <c r="G38" s="12" t="s">
        <v>62</v>
      </c>
      <c r="H38" s="12">
        <v>3.0</v>
      </c>
      <c r="I38" s="12">
        <v>199.99</v>
      </c>
      <c r="J38" s="12" t="s">
        <v>46</v>
      </c>
      <c r="K38" s="12" t="s">
        <v>60</v>
      </c>
      <c r="L38" s="12" t="s">
        <v>47</v>
      </c>
      <c r="M38" s="13">
        <v>45292.0</v>
      </c>
      <c r="N38" s="12">
        <v>599.97</v>
      </c>
    </row>
    <row r="39" ht="15.75" customHeight="1">
      <c r="A39" s="12" t="s">
        <v>167</v>
      </c>
      <c r="B39" s="13">
        <v>45440.0</v>
      </c>
      <c r="C39" s="12" t="s">
        <v>101</v>
      </c>
      <c r="D39" s="12" t="s">
        <v>168</v>
      </c>
      <c r="E39" s="12" t="s">
        <v>44</v>
      </c>
      <c r="F39" s="12" t="s">
        <v>45</v>
      </c>
      <c r="G39" s="12" t="s">
        <v>42</v>
      </c>
      <c r="H39" s="12">
        <v>5.0</v>
      </c>
      <c r="I39" s="12">
        <v>699.99</v>
      </c>
      <c r="J39" s="12" t="s">
        <v>57</v>
      </c>
      <c r="K39" s="12" t="s">
        <v>79</v>
      </c>
      <c r="L39" s="12" t="s">
        <v>59</v>
      </c>
      <c r="M39" s="13">
        <v>44407.0</v>
      </c>
      <c r="N39" s="12">
        <v>3499.95</v>
      </c>
    </row>
    <row r="40" ht="15.75" customHeight="1">
      <c r="A40" s="12" t="s">
        <v>169</v>
      </c>
      <c r="B40" s="13">
        <v>45441.0</v>
      </c>
      <c r="C40" s="12" t="s">
        <v>170</v>
      </c>
      <c r="D40" s="12" t="s">
        <v>171</v>
      </c>
      <c r="E40" s="12" t="s">
        <v>111</v>
      </c>
      <c r="F40" s="12" t="s">
        <v>112</v>
      </c>
      <c r="G40" s="12" t="s">
        <v>42</v>
      </c>
      <c r="H40" s="12">
        <v>3.0</v>
      </c>
      <c r="I40" s="12">
        <v>89.99</v>
      </c>
      <c r="J40" s="12" t="s">
        <v>57</v>
      </c>
      <c r="K40" s="12" t="s">
        <v>13</v>
      </c>
      <c r="L40" s="12" t="s">
        <v>47</v>
      </c>
      <c r="M40" s="13">
        <v>45120.0</v>
      </c>
      <c r="N40" s="12">
        <v>269.97</v>
      </c>
    </row>
    <row r="41" ht="15.75" customHeight="1">
      <c r="A41" s="12" t="s">
        <v>172</v>
      </c>
      <c r="B41" s="13">
        <v>45443.0</v>
      </c>
      <c r="C41" s="12" t="s">
        <v>151</v>
      </c>
      <c r="D41" s="12" t="s">
        <v>173</v>
      </c>
      <c r="E41" s="12" t="s">
        <v>76</v>
      </c>
      <c r="F41" s="12" t="s">
        <v>77</v>
      </c>
      <c r="G41" s="12" t="s">
        <v>14</v>
      </c>
      <c r="H41" s="12">
        <v>1.0</v>
      </c>
      <c r="I41" s="12">
        <v>79.99</v>
      </c>
      <c r="J41" s="12" t="s">
        <v>19</v>
      </c>
      <c r="K41" s="12" t="s">
        <v>60</v>
      </c>
      <c r="L41" s="12" t="s">
        <v>59</v>
      </c>
      <c r="M41" s="13">
        <v>44917.0</v>
      </c>
      <c r="N41" s="12">
        <v>79.99</v>
      </c>
    </row>
    <row r="42" ht="15.75" customHeight="1">
      <c r="A42" s="12" t="s">
        <v>175</v>
      </c>
      <c r="B42" s="13">
        <v>45444.0</v>
      </c>
      <c r="C42" s="12" t="s">
        <v>176</v>
      </c>
      <c r="D42" s="12" t="s">
        <v>177</v>
      </c>
      <c r="E42" s="12" t="s">
        <v>55</v>
      </c>
      <c r="F42" s="12" t="s">
        <v>56</v>
      </c>
      <c r="G42" s="12" t="s">
        <v>14</v>
      </c>
      <c r="H42" s="12">
        <v>2.0</v>
      </c>
      <c r="I42" s="12">
        <v>59.99</v>
      </c>
      <c r="J42" s="12" t="s">
        <v>19</v>
      </c>
      <c r="K42" s="12" t="s">
        <v>79</v>
      </c>
      <c r="L42" s="12" t="s">
        <v>20</v>
      </c>
      <c r="M42" s="13">
        <v>45390.0</v>
      </c>
      <c r="N42" s="12">
        <v>119.98</v>
      </c>
    </row>
    <row r="43" ht="15.75" customHeight="1">
      <c r="A43" s="12" t="s">
        <v>178</v>
      </c>
      <c r="B43" s="13">
        <v>45444.0</v>
      </c>
      <c r="C43" s="12" t="s">
        <v>83</v>
      </c>
      <c r="D43" s="12" t="s">
        <v>84</v>
      </c>
      <c r="E43" s="12" t="s">
        <v>111</v>
      </c>
      <c r="F43" s="12" t="s">
        <v>112</v>
      </c>
      <c r="G43" s="12" t="s">
        <v>42</v>
      </c>
      <c r="H43" s="12">
        <v>1.0</v>
      </c>
      <c r="I43" s="12">
        <v>89.99</v>
      </c>
      <c r="J43" s="12" t="s">
        <v>19</v>
      </c>
      <c r="K43" s="12" t="s">
        <v>60</v>
      </c>
      <c r="L43" s="12" t="s">
        <v>20</v>
      </c>
      <c r="M43" s="13">
        <v>45141.0</v>
      </c>
      <c r="N43" s="12">
        <v>89.99</v>
      </c>
    </row>
    <row r="44" ht="15.75" customHeight="1">
      <c r="A44" s="12" t="s">
        <v>179</v>
      </c>
      <c r="B44" s="13">
        <v>45446.0</v>
      </c>
      <c r="C44" s="12" t="s">
        <v>78</v>
      </c>
      <c r="D44" s="12" t="s">
        <v>180</v>
      </c>
      <c r="E44" s="12" t="s">
        <v>111</v>
      </c>
      <c r="F44" s="12" t="s">
        <v>112</v>
      </c>
      <c r="G44" s="12" t="s">
        <v>42</v>
      </c>
      <c r="H44" s="12">
        <v>5.0</v>
      </c>
      <c r="I44" s="12">
        <v>89.99</v>
      </c>
      <c r="J44" s="12" t="s">
        <v>46</v>
      </c>
      <c r="K44" s="12" t="s">
        <v>43</v>
      </c>
      <c r="L44" s="12" t="s">
        <v>59</v>
      </c>
      <c r="M44" s="13">
        <v>44587.0</v>
      </c>
      <c r="N44" s="12">
        <v>449.95</v>
      </c>
    </row>
    <row r="45" ht="15.75" customHeight="1">
      <c r="A45" s="12" t="s">
        <v>181</v>
      </c>
      <c r="B45" s="13">
        <v>45449.0</v>
      </c>
      <c r="C45" s="12" t="s">
        <v>50</v>
      </c>
      <c r="D45" s="12" t="s">
        <v>51</v>
      </c>
      <c r="E45" s="12" t="s">
        <v>40</v>
      </c>
      <c r="F45" s="12" t="s">
        <v>41</v>
      </c>
      <c r="G45" s="12" t="s">
        <v>42</v>
      </c>
      <c r="H45" s="12">
        <v>5.0</v>
      </c>
      <c r="I45" s="12">
        <v>249.99</v>
      </c>
      <c r="J45" s="12" t="s">
        <v>46</v>
      </c>
      <c r="K45" s="12" t="s">
        <v>43</v>
      </c>
      <c r="L45" s="12" t="s">
        <v>59</v>
      </c>
      <c r="M45" s="13">
        <v>44707.0</v>
      </c>
      <c r="N45" s="12">
        <v>1249.95</v>
      </c>
    </row>
    <row r="46" ht="15.75" customHeight="1">
      <c r="A46" s="12" t="s">
        <v>183</v>
      </c>
      <c r="B46" s="13">
        <v>45449.0</v>
      </c>
      <c r="C46" s="12" t="s">
        <v>182</v>
      </c>
      <c r="D46" s="12" t="s">
        <v>184</v>
      </c>
      <c r="E46" s="12" t="s">
        <v>111</v>
      </c>
      <c r="F46" s="12" t="s">
        <v>112</v>
      </c>
      <c r="G46" s="12" t="s">
        <v>42</v>
      </c>
      <c r="H46" s="12">
        <v>1.0</v>
      </c>
      <c r="I46" s="12">
        <v>89.99</v>
      </c>
      <c r="J46" s="12" t="s">
        <v>46</v>
      </c>
      <c r="K46" s="12" t="s">
        <v>58</v>
      </c>
      <c r="L46" s="12" t="s">
        <v>59</v>
      </c>
      <c r="M46" s="13">
        <v>44582.0</v>
      </c>
      <c r="N46" s="12">
        <v>89.99</v>
      </c>
    </row>
    <row r="47" ht="15.75" customHeight="1">
      <c r="A47" s="12" t="s">
        <v>185</v>
      </c>
      <c r="B47" s="13">
        <v>45450.0</v>
      </c>
      <c r="C47" s="12" t="s">
        <v>68</v>
      </c>
      <c r="D47" s="12" t="s">
        <v>70</v>
      </c>
      <c r="E47" s="12" t="s">
        <v>71</v>
      </c>
      <c r="F47" s="12" t="s">
        <v>72</v>
      </c>
      <c r="G47" s="12" t="s">
        <v>62</v>
      </c>
      <c r="H47" s="12">
        <v>2.0</v>
      </c>
      <c r="I47" s="12">
        <v>149.99</v>
      </c>
      <c r="J47" s="12" t="s">
        <v>19</v>
      </c>
      <c r="K47" s="12" t="s">
        <v>43</v>
      </c>
      <c r="L47" s="12" t="s">
        <v>47</v>
      </c>
      <c r="M47" s="13">
        <v>44645.0</v>
      </c>
      <c r="N47" s="12">
        <v>299.98</v>
      </c>
    </row>
    <row r="48" ht="15.75" customHeight="1">
      <c r="A48" s="12" t="s">
        <v>186</v>
      </c>
      <c r="B48" s="13">
        <v>45452.0</v>
      </c>
      <c r="C48" s="12" t="s">
        <v>187</v>
      </c>
      <c r="D48" s="12" t="s">
        <v>188</v>
      </c>
      <c r="E48" s="12" t="s">
        <v>55</v>
      </c>
      <c r="F48" s="12" t="s">
        <v>56</v>
      </c>
      <c r="G48" s="12" t="s">
        <v>14</v>
      </c>
      <c r="H48" s="12">
        <v>4.0</v>
      </c>
      <c r="I48" s="12">
        <v>59.99</v>
      </c>
      <c r="J48" s="12" t="s">
        <v>19</v>
      </c>
      <c r="K48" s="12" t="s">
        <v>43</v>
      </c>
      <c r="L48" s="12" t="s">
        <v>59</v>
      </c>
      <c r="M48" s="13">
        <v>44435.0</v>
      </c>
      <c r="N48" s="12">
        <v>239.96</v>
      </c>
    </row>
    <row r="49" ht="15.75" customHeight="1">
      <c r="A49" s="12" t="s">
        <v>189</v>
      </c>
      <c r="B49" s="13">
        <v>45456.0</v>
      </c>
      <c r="C49" s="12" t="s">
        <v>90</v>
      </c>
      <c r="D49" s="12" t="s">
        <v>158</v>
      </c>
      <c r="E49" s="12" t="s">
        <v>111</v>
      </c>
      <c r="F49" s="12" t="s">
        <v>112</v>
      </c>
      <c r="G49" s="12" t="s">
        <v>42</v>
      </c>
      <c r="H49" s="12">
        <v>5.0</v>
      </c>
      <c r="I49" s="12">
        <v>89.99</v>
      </c>
      <c r="J49" s="12" t="s">
        <v>19</v>
      </c>
      <c r="K49" s="12" t="s">
        <v>13</v>
      </c>
      <c r="L49" s="12" t="s">
        <v>47</v>
      </c>
      <c r="M49" s="13">
        <v>44579.0</v>
      </c>
      <c r="N49" s="12">
        <v>449.95</v>
      </c>
    </row>
    <row r="50" ht="15.75" customHeight="1">
      <c r="A50" s="12" t="s">
        <v>190</v>
      </c>
      <c r="B50" s="13">
        <v>45459.0</v>
      </c>
      <c r="C50" s="12" t="s">
        <v>121</v>
      </c>
      <c r="D50" s="12" t="s">
        <v>134</v>
      </c>
      <c r="E50" s="12" t="s">
        <v>111</v>
      </c>
      <c r="F50" s="12" t="s">
        <v>112</v>
      </c>
      <c r="G50" s="12" t="s">
        <v>42</v>
      </c>
      <c r="H50" s="12">
        <v>2.0</v>
      </c>
      <c r="I50" s="12">
        <v>89.99</v>
      </c>
      <c r="J50" s="12" t="s">
        <v>46</v>
      </c>
      <c r="K50" s="12" t="s">
        <v>58</v>
      </c>
      <c r="L50" s="12" t="s">
        <v>47</v>
      </c>
      <c r="M50" s="13">
        <v>44471.0</v>
      </c>
      <c r="N50" s="12">
        <v>179.98</v>
      </c>
    </row>
    <row r="51" ht="15.75" customHeight="1">
      <c r="A51" s="12" t="s">
        <v>191</v>
      </c>
      <c r="B51" s="13">
        <v>45459.0</v>
      </c>
      <c r="C51" s="12" t="s">
        <v>37</v>
      </c>
      <c r="D51" s="12" t="s">
        <v>39</v>
      </c>
      <c r="E51" s="12" t="s">
        <v>16</v>
      </c>
      <c r="F51" s="12" t="s">
        <v>18</v>
      </c>
      <c r="G51" s="12" t="s">
        <v>42</v>
      </c>
      <c r="H51" s="12">
        <v>5.0</v>
      </c>
      <c r="I51" s="12">
        <v>899.99</v>
      </c>
      <c r="J51" s="12" t="s">
        <v>46</v>
      </c>
      <c r="K51" s="12" t="s">
        <v>58</v>
      </c>
      <c r="L51" s="12" t="s">
        <v>59</v>
      </c>
      <c r="M51" s="13">
        <v>44974.0</v>
      </c>
      <c r="N51" s="12">
        <v>4499.95</v>
      </c>
    </row>
    <row r="52" ht="15.75" customHeight="1">
      <c r="A52" s="12" t="s">
        <v>192</v>
      </c>
      <c r="B52" s="13">
        <v>45459.0</v>
      </c>
      <c r="C52" s="12" t="s">
        <v>153</v>
      </c>
      <c r="D52" s="12" t="s">
        <v>154</v>
      </c>
      <c r="E52" s="12" t="s">
        <v>16</v>
      </c>
      <c r="F52" s="12" t="s">
        <v>18</v>
      </c>
      <c r="G52" s="12" t="s">
        <v>42</v>
      </c>
      <c r="H52" s="12">
        <v>5.0</v>
      </c>
      <c r="I52" s="12">
        <v>899.99</v>
      </c>
      <c r="J52" s="12" t="s">
        <v>57</v>
      </c>
      <c r="K52" s="12" t="s">
        <v>43</v>
      </c>
      <c r="L52" s="12" t="s">
        <v>47</v>
      </c>
      <c r="M52" s="13">
        <v>45278.0</v>
      </c>
      <c r="N52" s="12">
        <v>4499.95</v>
      </c>
    </row>
    <row r="53" ht="15.75" customHeight="1">
      <c r="A53" s="12" t="s">
        <v>195</v>
      </c>
      <c r="B53" s="13">
        <v>45460.0</v>
      </c>
      <c r="C53" s="12" t="s">
        <v>182</v>
      </c>
      <c r="D53" s="12" t="s">
        <v>184</v>
      </c>
      <c r="E53" s="12" t="s">
        <v>55</v>
      </c>
      <c r="F53" s="12" t="s">
        <v>56</v>
      </c>
      <c r="G53" s="12" t="s">
        <v>14</v>
      </c>
      <c r="H53" s="12">
        <v>1.0</v>
      </c>
      <c r="I53" s="12">
        <v>59.99</v>
      </c>
      <c r="J53" s="12" t="s">
        <v>67</v>
      </c>
      <c r="K53" s="12" t="s">
        <v>79</v>
      </c>
      <c r="L53" s="12" t="s">
        <v>47</v>
      </c>
      <c r="M53" s="13">
        <v>45190.0</v>
      </c>
      <c r="N53" s="12">
        <v>59.99</v>
      </c>
    </row>
    <row r="54" ht="15.75" customHeight="1">
      <c r="A54" s="12" t="s">
        <v>196</v>
      </c>
      <c r="B54" s="13">
        <v>45460.0</v>
      </c>
      <c r="C54" s="12" t="s">
        <v>101</v>
      </c>
      <c r="D54" s="12" t="s">
        <v>168</v>
      </c>
      <c r="E54" s="12" t="s">
        <v>94</v>
      </c>
      <c r="F54" s="12" t="s">
        <v>95</v>
      </c>
      <c r="G54" s="12" t="s">
        <v>62</v>
      </c>
      <c r="H54" s="12">
        <v>2.0</v>
      </c>
      <c r="I54" s="12">
        <v>299.99</v>
      </c>
      <c r="J54" s="12" t="s">
        <v>67</v>
      </c>
      <c r="K54" s="12" t="s">
        <v>43</v>
      </c>
      <c r="L54" s="12" t="s">
        <v>59</v>
      </c>
      <c r="M54" s="13">
        <v>45253.0</v>
      </c>
      <c r="N54" s="12">
        <v>599.98</v>
      </c>
    </row>
    <row r="55" ht="15.75" customHeight="1">
      <c r="A55" s="12" t="s">
        <v>198</v>
      </c>
      <c r="B55" s="13">
        <v>45468.0</v>
      </c>
      <c r="C55" s="12" t="s">
        <v>199</v>
      </c>
      <c r="D55" s="12" t="s">
        <v>200</v>
      </c>
      <c r="E55" s="12" t="s">
        <v>111</v>
      </c>
      <c r="F55" s="12" t="s">
        <v>112</v>
      </c>
      <c r="G55" s="12" t="s">
        <v>42</v>
      </c>
      <c r="H55" s="12">
        <v>4.0</v>
      </c>
      <c r="I55" s="12">
        <v>89.99</v>
      </c>
      <c r="J55" s="12" t="s">
        <v>67</v>
      </c>
      <c r="K55" s="12" t="s">
        <v>58</v>
      </c>
      <c r="L55" s="12" t="s">
        <v>20</v>
      </c>
      <c r="M55" s="13">
        <v>45281.0</v>
      </c>
      <c r="N55" s="12">
        <v>359.96</v>
      </c>
    </row>
    <row r="56" ht="15.75" customHeight="1">
      <c r="A56" s="12" t="s">
        <v>201</v>
      </c>
      <c r="B56" s="13">
        <v>45469.0</v>
      </c>
      <c r="C56" s="12" t="s">
        <v>53</v>
      </c>
      <c r="D56" s="12" t="s">
        <v>54</v>
      </c>
      <c r="E56" s="12" t="s">
        <v>76</v>
      </c>
      <c r="F56" s="12" t="s">
        <v>77</v>
      </c>
      <c r="G56" s="12" t="s">
        <v>14</v>
      </c>
      <c r="H56" s="12">
        <v>1.0</v>
      </c>
      <c r="I56" s="12">
        <v>79.99</v>
      </c>
      <c r="J56" s="12" t="s">
        <v>57</v>
      </c>
      <c r="K56" s="12" t="s">
        <v>13</v>
      </c>
      <c r="L56" s="12" t="s">
        <v>47</v>
      </c>
      <c r="M56" s="13">
        <v>45352.0</v>
      </c>
      <c r="N56" s="12">
        <v>79.99</v>
      </c>
    </row>
    <row r="57" ht="15.75" customHeight="1">
      <c r="A57" s="12" t="s">
        <v>203</v>
      </c>
      <c r="B57" s="13">
        <v>45469.0</v>
      </c>
      <c r="C57" s="12" t="s">
        <v>86</v>
      </c>
      <c r="D57" s="12" t="s">
        <v>88</v>
      </c>
      <c r="E57" s="12" t="s">
        <v>111</v>
      </c>
      <c r="F57" s="12" t="s">
        <v>112</v>
      </c>
      <c r="G57" s="12" t="s">
        <v>42</v>
      </c>
      <c r="H57" s="12">
        <v>2.0</v>
      </c>
      <c r="I57" s="12">
        <v>89.99</v>
      </c>
      <c r="J57" s="12" t="s">
        <v>19</v>
      </c>
      <c r="K57" s="12" t="s">
        <v>79</v>
      </c>
      <c r="L57" s="12" t="s">
        <v>20</v>
      </c>
      <c r="M57" s="13">
        <v>44438.0</v>
      </c>
      <c r="N57" s="12">
        <v>179.98</v>
      </c>
    </row>
    <row r="58" ht="15.75" customHeight="1">
      <c r="A58" s="12" t="s">
        <v>204</v>
      </c>
      <c r="B58" s="13">
        <v>45471.0</v>
      </c>
      <c r="C58" s="12" t="s">
        <v>64</v>
      </c>
      <c r="D58" s="12" t="s">
        <v>66</v>
      </c>
      <c r="E58" s="12" t="s">
        <v>44</v>
      </c>
      <c r="F58" s="12" t="s">
        <v>45</v>
      </c>
      <c r="G58" s="12" t="s">
        <v>42</v>
      </c>
      <c r="H58" s="12">
        <v>3.0</v>
      </c>
      <c r="I58" s="12">
        <v>699.99</v>
      </c>
      <c r="J58" s="12" t="s">
        <v>46</v>
      </c>
      <c r="K58" s="12" t="s">
        <v>43</v>
      </c>
      <c r="L58" s="12" t="s">
        <v>47</v>
      </c>
      <c r="M58" s="13">
        <v>45102.0</v>
      </c>
      <c r="N58" s="12">
        <v>2099.97</v>
      </c>
    </row>
    <row r="59" ht="15.75" customHeight="1">
      <c r="A59" s="12" t="s">
        <v>205</v>
      </c>
      <c r="B59" s="13">
        <v>45471.0</v>
      </c>
      <c r="C59" s="12" t="s">
        <v>121</v>
      </c>
      <c r="D59" s="12" t="s">
        <v>134</v>
      </c>
      <c r="E59" s="12" t="s">
        <v>16</v>
      </c>
      <c r="F59" s="12" t="s">
        <v>18</v>
      </c>
      <c r="G59" s="12" t="s">
        <v>42</v>
      </c>
      <c r="H59" s="12">
        <v>4.0</v>
      </c>
      <c r="I59" s="12">
        <v>899.99</v>
      </c>
      <c r="J59" s="12" t="s">
        <v>46</v>
      </c>
      <c r="K59" s="12" t="s">
        <v>43</v>
      </c>
      <c r="L59" s="12" t="s">
        <v>47</v>
      </c>
      <c r="M59" s="13">
        <v>44993.0</v>
      </c>
      <c r="N59" s="12">
        <v>3599.96</v>
      </c>
    </row>
    <row r="60" ht="15.75" customHeight="1">
      <c r="A60" s="12" t="s">
        <v>206</v>
      </c>
      <c r="B60" s="13">
        <v>45472.0</v>
      </c>
      <c r="C60" s="12" t="s">
        <v>149</v>
      </c>
      <c r="D60" s="12" t="s">
        <v>150</v>
      </c>
      <c r="E60" s="12" t="s">
        <v>71</v>
      </c>
      <c r="F60" s="12" t="s">
        <v>72</v>
      </c>
      <c r="G60" s="12" t="s">
        <v>62</v>
      </c>
      <c r="H60" s="12">
        <v>1.0</v>
      </c>
      <c r="I60" s="12">
        <v>149.99</v>
      </c>
      <c r="J60" s="12" t="s">
        <v>57</v>
      </c>
      <c r="K60" s="12" t="s">
        <v>43</v>
      </c>
      <c r="L60" s="12" t="s">
        <v>20</v>
      </c>
      <c r="M60" s="13">
        <v>44851.0</v>
      </c>
      <c r="N60" s="12">
        <v>149.99</v>
      </c>
    </row>
    <row r="61" ht="15.75" customHeight="1">
      <c r="A61" s="12" t="s">
        <v>207</v>
      </c>
      <c r="B61" s="13">
        <v>45474.0</v>
      </c>
      <c r="C61" s="12" t="s">
        <v>48</v>
      </c>
      <c r="D61" s="12" t="s">
        <v>160</v>
      </c>
      <c r="E61" s="12" t="s">
        <v>111</v>
      </c>
      <c r="F61" s="12" t="s">
        <v>112</v>
      </c>
      <c r="G61" s="12" t="s">
        <v>42</v>
      </c>
      <c r="H61" s="12">
        <v>2.0</v>
      </c>
      <c r="I61" s="12">
        <v>89.99</v>
      </c>
      <c r="J61" s="12" t="s">
        <v>57</v>
      </c>
      <c r="K61" s="12" t="s">
        <v>13</v>
      </c>
      <c r="L61" s="12" t="s">
        <v>47</v>
      </c>
      <c r="M61" s="13">
        <v>45275.0</v>
      </c>
      <c r="N61" s="12">
        <v>179.98</v>
      </c>
    </row>
    <row r="62" ht="15.75" customHeight="1">
      <c r="A62" s="12" t="s">
        <v>209</v>
      </c>
      <c r="B62" s="13">
        <v>45475.0</v>
      </c>
      <c r="C62" s="12" t="s">
        <v>83</v>
      </c>
      <c r="D62" s="12" t="s">
        <v>84</v>
      </c>
      <c r="E62" s="12" t="s">
        <v>111</v>
      </c>
      <c r="F62" s="12" t="s">
        <v>112</v>
      </c>
      <c r="G62" s="12" t="s">
        <v>42</v>
      </c>
      <c r="H62" s="12">
        <v>1.0</v>
      </c>
      <c r="I62" s="12">
        <v>89.99</v>
      </c>
      <c r="J62" s="12" t="s">
        <v>57</v>
      </c>
      <c r="K62" s="12" t="s">
        <v>79</v>
      </c>
      <c r="L62" s="12" t="s">
        <v>59</v>
      </c>
      <c r="M62" s="13">
        <v>44802.0</v>
      </c>
      <c r="N62" s="12">
        <v>89.99</v>
      </c>
    </row>
    <row r="63" ht="15.75" customHeight="1">
      <c r="A63" s="12" t="s">
        <v>211</v>
      </c>
      <c r="B63" s="13">
        <v>45476.0</v>
      </c>
      <c r="C63" s="12" t="s">
        <v>98</v>
      </c>
      <c r="D63" s="12" t="s">
        <v>99</v>
      </c>
      <c r="E63" s="12" t="s">
        <v>111</v>
      </c>
      <c r="F63" s="12" t="s">
        <v>112</v>
      </c>
      <c r="G63" s="12" t="s">
        <v>42</v>
      </c>
      <c r="H63" s="12">
        <v>1.0</v>
      </c>
      <c r="I63" s="12">
        <v>89.99</v>
      </c>
      <c r="J63" s="12" t="s">
        <v>19</v>
      </c>
      <c r="K63" s="12" t="s">
        <v>58</v>
      </c>
      <c r="L63" s="12" t="s">
        <v>59</v>
      </c>
      <c r="M63" s="13">
        <v>44611.0</v>
      </c>
      <c r="N63" s="12">
        <v>89.99</v>
      </c>
    </row>
    <row r="64" ht="15.75" customHeight="1">
      <c r="A64" s="12" t="s">
        <v>212</v>
      </c>
      <c r="B64" s="13">
        <v>45476.0</v>
      </c>
      <c r="C64" s="12" t="s">
        <v>96</v>
      </c>
      <c r="D64" s="12" t="s">
        <v>213</v>
      </c>
      <c r="E64" s="12" t="s">
        <v>76</v>
      </c>
      <c r="F64" s="12" t="s">
        <v>77</v>
      </c>
      <c r="G64" s="12" t="s">
        <v>14</v>
      </c>
      <c r="H64" s="12">
        <v>5.0</v>
      </c>
      <c r="I64" s="12">
        <v>79.99</v>
      </c>
      <c r="J64" s="12" t="s">
        <v>67</v>
      </c>
      <c r="K64" s="12" t="s">
        <v>13</v>
      </c>
      <c r="L64" s="12" t="s">
        <v>20</v>
      </c>
      <c r="M64" s="13">
        <v>44981.0</v>
      </c>
      <c r="N64" s="12">
        <v>399.95</v>
      </c>
    </row>
    <row r="65" ht="15.75" customHeight="1">
      <c r="A65" s="12" t="s">
        <v>215</v>
      </c>
      <c r="B65" s="13">
        <v>45481.0</v>
      </c>
      <c r="C65" s="12" t="s">
        <v>156</v>
      </c>
      <c r="D65" s="12" t="s">
        <v>216</v>
      </c>
      <c r="E65" s="12" t="s">
        <v>71</v>
      </c>
      <c r="F65" s="12" t="s">
        <v>72</v>
      </c>
      <c r="G65" s="12" t="s">
        <v>62</v>
      </c>
      <c r="H65" s="12">
        <v>1.0</v>
      </c>
      <c r="I65" s="12">
        <v>149.99</v>
      </c>
      <c r="J65" s="12" t="s">
        <v>57</v>
      </c>
      <c r="K65" s="12" t="s">
        <v>60</v>
      </c>
      <c r="L65" s="12" t="s">
        <v>20</v>
      </c>
      <c r="M65" s="13">
        <v>44421.0</v>
      </c>
      <c r="N65" s="12">
        <v>149.99</v>
      </c>
    </row>
    <row r="66" ht="15.75" customHeight="1">
      <c r="A66" s="12" t="s">
        <v>217</v>
      </c>
      <c r="B66" s="13">
        <v>45481.0</v>
      </c>
      <c r="C66" s="12" t="s">
        <v>68</v>
      </c>
      <c r="D66" s="12" t="s">
        <v>70</v>
      </c>
      <c r="E66" s="12" t="s">
        <v>44</v>
      </c>
      <c r="F66" s="12" t="s">
        <v>45</v>
      </c>
      <c r="G66" s="12" t="s">
        <v>42</v>
      </c>
      <c r="H66" s="12">
        <v>2.0</v>
      </c>
      <c r="I66" s="12">
        <v>699.99</v>
      </c>
      <c r="J66" s="12" t="s">
        <v>57</v>
      </c>
      <c r="K66" s="12" t="s">
        <v>43</v>
      </c>
      <c r="L66" s="12" t="s">
        <v>47</v>
      </c>
      <c r="M66" s="13">
        <v>45389.0</v>
      </c>
      <c r="N66" s="12">
        <v>1399.98</v>
      </c>
    </row>
    <row r="67" ht="15.75" customHeight="1">
      <c r="A67" s="12" t="s">
        <v>218</v>
      </c>
      <c r="B67" s="13">
        <v>45481.0</v>
      </c>
      <c r="C67" s="12" t="s">
        <v>130</v>
      </c>
      <c r="D67" s="12" t="s">
        <v>131</v>
      </c>
      <c r="E67" s="12" t="s">
        <v>111</v>
      </c>
      <c r="F67" s="12" t="s">
        <v>112</v>
      </c>
      <c r="G67" s="12" t="s">
        <v>42</v>
      </c>
      <c r="H67" s="12">
        <v>5.0</v>
      </c>
      <c r="I67" s="12">
        <v>89.99</v>
      </c>
      <c r="J67" s="12" t="s">
        <v>67</v>
      </c>
      <c r="K67" s="12" t="s">
        <v>60</v>
      </c>
      <c r="L67" s="12" t="s">
        <v>47</v>
      </c>
      <c r="M67" s="13">
        <v>45161.0</v>
      </c>
      <c r="N67" s="12">
        <v>449.95</v>
      </c>
    </row>
    <row r="68" ht="15.75" customHeight="1">
      <c r="A68" s="12" t="s">
        <v>219</v>
      </c>
      <c r="B68" s="13">
        <v>45482.0</v>
      </c>
      <c r="C68" s="12" t="s">
        <v>199</v>
      </c>
      <c r="D68" s="12" t="s">
        <v>200</v>
      </c>
      <c r="E68" s="12" t="s">
        <v>55</v>
      </c>
      <c r="F68" s="12" t="s">
        <v>56</v>
      </c>
      <c r="G68" s="12" t="s">
        <v>14</v>
      </c>
      <c r="H68" s="12">
        <v>4.0</v>
      </c>
      <c r="I68" s="12">
        <v>59.99</v>
      </c>
      <c r="J68" s="12" t="s">
        <v>19</v>
      </c>
      <c r="K68" s="12" t="s">
        <v>58</v>
      </c>
      <c r="L68" s="12" t="s">
        <v>59</v>
      </c>
      <c r="M68" s="13">
        <v>44509.0</v>
      </c>
      <c r="N68" s="12">
        <v>239.96</v>
      </c>
    </row>
    <row r="69" ht="15.75" customHeight="1">
      <c r="A69" s="12" t="s">
        <v>220</v>
      </c>
      <c r="B69" s="13">
        <v>45484.0</v>
      </c>
      <c r="C69" s="12" t="s">
        <v>50</v>
      </c>
      <c r="D69" s="12" t="s">
        <v>51</v>
      </c>
      <c r="E69" s="12" t="s">
        <v>63</v>
      </c>
      <c r="F69" s="12" t="s">
        <v>65</v>
      </c>
      <c r="G69" s="12" t="s">
        <v>42</v>
      </c>
      <c r="H69" s="12">
        <v>1.0</v>
      </c>
      <c r="I69" s="12">
        <v>149.99</v>
      </c>
      <c r="J69" s="12" t="s">
        <v>19</v>
      </c>
      <c r="K69" s="12" t="s">
        <v>13</v>
      </c>
      <c r="L69" s="12" t="s">
        <v>59</v>
      </c>
      <c r="M69" s="13">
        <v>44909.0</v>
      </c>
      <c r="N69" s="12">
        <v>149.99</v>
      </c>
    </row>
    <row r="70" ht="15.75" customHeight="1">
      <c r="A70" s="12" t="s">
        <v>221</v>
      </c>
      <c r="B70" s="13">
        <v>45484.0</v>
      </c>
      <c r="C70" s="12" t="s">
        <v>197</v>
      </c>
      <c r="D70" s="12" t="s">
        <v>222</v>
      </c>
      <c r="E70" s="12" t="s">
        <v>94</v>
      </c>
      <c r="F70" s="12" t="s">
        <v>95</v>
      </c>
      <c r="G70" s="12" t="s">
        <v>62</v>
      </c>
      <c r="H70" s="12">
        <v>1.0</v>
      </c>
      <c r="I70" s="12">
        <v>299.99</v>
      </c>
      <c r="J70" s="12" t="s">
        <v>46</v>
      </c>
      <c r="K70" s="12" t="s">
        <v>60</v>
      </c>
      <c r="L70" s="12" t="s">
        <v>47</v>
      </c>
      <c r="M70" s="13">
        <v>44891.0</v>
      </c>
      <c r="N70" s="12">
        <v>299.99</v>
      </c>
    </row>
    <row r="71" ht="15.75" customHeight="1">
      <c r="A71" s="12" t="s">
        <v>224</v>
      </c>
      <c r="B71" s="13">
        <v>45487.0</v>
      </c>
      <c r="C71" s="12" t="s">
        <v>197</v>
      </c>
      <c r="D71" s="12" t="s">
        <v>222</v>
      </c>
      <c r="E71" s="12" t="s">
        <v>87</v>
      </c>
      <c r="F71" s="12" t="s">
        <v>89</v>
      </c>
      <c r="G71" s="12" t="s">
        <v>62</v>
      </c>
      <c r="H71" s="12">
        <v>2.0</v>
      </c>
      <c r="I71" s="12">
        <v>199.99</v>
      </c>
      <c r="J71" s="12" t="s">
        <v>19</v>
      </c>
      <c r="K71" s="12" t="s">
        <v>60</v>
      </c>
      <c r="L71" s="12" t="s">
        <v>20</v>
      </c>
      <c r="M71" s="13">
        <v>44541.0</v>
      </c>
      <c r="N71" s="12">
        <v>399.98</v>
      </c>
    </row>
    <row r="72" ht="15.75" customHeight="1">
      <c r="A72" s="12" t="s">
        <v>225</v>
      </c>
      <c r="B72" s="13">
        <v>45490.0</v>
      </c>
      <c r="C72" s="12" t="s">
        <v>226</v>
      </c>
      <c r="D72" s="12" t="s">
        <v>227</v>
      </c>
      <c r="E72" s="12" t="s">
        <v>55</v>
      </c>
      <c r="F72" s="12" t="s">
        <v>56</v>
      </c>
      <c r="G72" s="12" t="s">
        <v>14</v>
      </c>
      <c r="H72" s="12">
        <v>3.0</v>
      </c>
      <c r="I72" s="12">
        <v>59.99</v>
      </c>
      <c r="J72" s="12" t="s">
        <v>46</v>
      </c>
      <c r="K72" s="12" t="s">
        <v>79</v>
      </c>
      <c r="L72" s="12" t="s">
        <v>20</v>
      </c>
      <c r="M72" s="13">
        <v>45130.0</v>
      </c>
      <c r="N72" s="12">
        <v>179.97</v>
      </c>
    </row>
    <row r="73" ht="15.75" customHeight="1">
      <c r="A73" s="12" t="s">
        <v>228</v>
      </c>
      <c r="B73" s="13">
        <v>45490.0</v>
      </c>
      <c r="C73" s="12" t="s">
        <v>103</v>
      </c>
      <c r="D73" s="12" t="s">
        <v>104</v>
      </c>
      <c r="E73" s="12" t="s">
        <v>71</v>
      </c>
      <c r="F73" s="12" t="s">
        <v>72</v>
      </c>
      <c r="G73" s="12" t="s">
        <v>62</v>
      </c>
      <c r="H73" s="12">
        <v>3.0</v>
      </c>
      <c r="I73" s="12">
        <v>149.99</v>
      </c>
      <c r="J73" s="12" t="s">
        <v>19</v>
      </c>
      <c r="K73" s="12" t="s">
        <v>13</v>
      </c>
      <c r="L73" s="12" t="s">
        <v>47</v>
      </c>
      <c r="M73" s="13">
        <v>45199.0</v>
      </c>
      <c r="N73" s="12">
        <v>449.97</v>
      </c>
    </row>
    <row r="74" ht="15.75" customHeight="1">
      <c r="A74" s="12" t="s">
        <v>229</v>
      </c>
      <c r="B74" s="13">
        <v>45491.0</v>
      </c>
      <c r="C74" s="12" t="s">
        <v>92</v>
      </c>
      <c r="D74" s="12" t="s">
        <v>93</v>
      </c>
      <c r="E74" s="12" t="s">
        <v>87</v>
      </c>
      <c r="F74" s="12" t="s">
        <v>89</v>
      </c>
      <c r="G74" s="12" t="s">
        <v>62</v>
      </c>
      <c r="H74" s="12">
        <v>3.0</v>
      </c>
      <c r="I74" s="12">
        <v>199.99</v>
      </c>
      <c r="J74" s="12" t="s">
        <v>19</v>
      </c>
      <c r="K74" s="12" t="s">
        <v>60</v>
      </c>
      <c r="L74" s="12" t="s">
        <v>47</v>
      </c>
      <c r="M74" s="13">
        <v>45254.0</v>
      </c>
      <c r="N74" s="12">
        <v>599.97</v>
      </c>
    </row>
    <row r="75" ht="15.75" customHeight="1">
      <c r="A75" s="12" t="s">
        <v>231</v>
      </c>
      <c r="B75" s="13">
        <v>45496.0</v>
      </c>
      <c r="C75" s="12" t="s">
        <v>176</v>
      </c>
      <c r="D75" s="12" t="s">
        <v>177</v>
      </c>
      <c r="E75" s="12" t="s">
        <v>16</v>
      </c>
      <c r="F75" s="12" t="s">
        <v>18</v>
      </c>
      <c r="G75" s="12" t="s">
        <v>42</v>
      </c>
      <c r="H75" s="12">
        <v>1.0</v>
      </c>
      <c r="I75" s="12">
        <v>899.99</v>
      </c>
      <c r="J75" s="12" t="s">
        <v>19</v>
      </c>
      <c r="K75" s="12" t="s">
        <v>13</v>
      </c>
      <c r="L75" s="12" t="s">
        <v>59</v>
      </c>
      <c r="M75" s="13">
        <v>45179.0</v>
      </c>
      <c r="N75" s="12">
        <v>899.99</v>
      </c>
    </row>
    <row r="76" ht="15.75" customHeight="1">
      <c r="A76" s="12" t="s">
        <v>232</v>
      </c>
      <c r="B76" s="13">
        <v>45497.0</v>
      </c>
      <c r="C76" s="12" t="s">
        <v>50</v>
      </c>
      <c r="D76" s="12" t="s">
        <v>51</v>
      </c>
      <c r="E76" s="12" t="s">
        <v>16</v>
      </c>
      <c r="F76" s="12" t="s">
        <v>18</v>
      </c>
      <c r="G76" s="12" t="s">
        <v>42</v>
      </c>
      <c r="H76" s="12">
        <v>5.0</v>
      </c>
      <c r="I76" s="12">
        <v>899.99</v>
      </c>
      <c r="J76" s="12" t="s">
        <v>67</v>
      </c>
      <c r="K76" s="12" t="s">
        <v>58</v>
      </c>
      <c r="L76" s="12" t="s">
        <v>59</v>
      </c>
      <c r="M76" s="13">
        <v>44899.0</v>
      </c>
      <c r="N76" s="12">
        <v>4499.95</v>
      </c>
    </row>
    <row r="77" ht="15.75" customHeight="1">
      <c r="A77" s="12" t="s">
        <v>234</v>
      </c>
      <c r="B77" s="13">
        <v>45498.0</v>
      </c>
      <c r="C77" s="12" t="s">
        <v>96</v>
      </c>
      <c r="D77" s="12" t="s">
        <v>213</v>
      </c>
      <c r="E77" s="12" t="s">
        <v>55</v>
      </c>
      <c r="F77" s="12" t="s">
        <v>56</v>
      </c>
      <c r="G77" s="12" t="s">
        <v>14</v>
      </c>
      <c r="H77" s="12">
        <v>2.0</v>
      </c>
      <c r="I77" s="12">
        <v>59.99</v>
      </c>
      <c r="J77" s="12" t="s">
        <v>19</v>
      </c>
      <c r="K77" s="12" t="s">
        <v>60</v>
      </c>
      <c r="L77" s="12" t="s">
        <v>59</v>
      </c>
      <c r="M77" s="13">
        <v>45152.0</v>
      </c>
      <c r="N77" s="12">
        <v>119.98</v>
      </c>
    </row>
    <row r="78" ht="15.75" customHeight="1">
      <c r="A78" s="12" t="s">
        <v>235</v>
      </c>
      <c r="B78" s="13">
        <v>45498.0</v>
      </c>
      <c r="C78" s="12" t="s">
        <v>226</v>
      </c>
      <c r="D78" s="12" t="s">
        <v>227</v>
      </c>
      <c r="E78" s="12" t="s">
        <v>40</v>
      </c>
      <c r="F78" s="12" t="s">
        <v>41</v>
      </c>
      <c r="G78" s="12" t="s">
        <v>42</v>
      </c>
      <c r="H78" s="12">
        <v>4.0</v>
      </c>
      <c r="I78" s="12">
        <v>249.99</v>
      </c>
      <c r="J78" s="12" t="s">
        <v>67</v>
      </c>
      <c r="K78" s="12" t="s">
        <v>13</v>
      </c>
      <c r="L78" s="12" t="s">
        <v>59</v>
      </c>
      <c r="M78" s="13">
        <v>45127.0</v>
      </c>
      <c r="N78" s="12">
        <v>999.96</v>
      </c>
    </row>
    <row r="79" ht="15.75" customHeight="1">
      <c r="A79" s="12" t="s">
        <v>236</v>
      </c>
      <c r="B79" s="13">
        <v>45500.0</v>
      </c>
      <c r="C79" s="12" t="s">
        <v>130</v>
      </c>
      <c r="D79" s="12" t="s">
        <v>131</v>
      </c>
      <c r="E79" s="12" t="s">
        <v>40</v>
      </c>
      <c r="F79" s="12" t="s">
        <v>41</v>
      </c>
      <c r="G79" s="12" t="s">
        <v>42</v>
      </c>
      <c r="H79" s="12">
        <v>2.0</v>
      </c>
      <c r="I79" s="12">
        <v>249.99</v>
      </c>
      <c r="J79" s="12" t="s">
        <v>19</v>
      </c>
      <c r="K79" s="12" t="s">
        <v>60</v>
      </c>
      <c r="L79" s="12" t="s">
        <v>47</v>
      </c>
      <c r="M79" s="13">
        <v>45164.0</v>
      </c>
      <c r="N79" s="12">
        <v>499.98</v>
      </c>
    </row>
    <row r="80" ht="15.75" customHeight="1">
      <c r="A80" s="12" t="s">
        <v>237</v>
      </c>
      <c r="B80" s="13">
        <v>45500.0</v>
      </c>
      <c r="C80" s="12" t="s">
        <v>151</v>
      </c>
      <c r="D80" s="12" t="s">
        <v>173</v>
      </c>
      <c r="E80" s="12" t="s">
        <v>94</v>
      </c>
      <c r="F80" s="12" t="s">
        <v>95</v>
      </c>
      <c r="G80" s="12" t="s">
        <v>62</v>
      </c>
      <c r="H80" s="12">
        <v>1.0</v>
      </c>
      <c r="I80" s="12">
        <v>299.99</v>
      </c>
      <c r="J80" s="12" t="s">
        <v>19</v>
      </c>
      <c r="K80" s="12" t="s">
        <v>58</v>
      </c>
      <c r="L80" s="12" t="s">
        <v>20</v>
      </c>
      <c r="M80" s="13">
        <v>44982.0</v>
      </c>
      <c r="N80" s="12">
        <v>299.99</v>
      </c>
    </row>
    <row r="81" ht="15.75" customHeight="1">
      <c r="A81" s="12" t="s">
        <v>238</v>
      </c>
      <c r="B81" s="13">
        <v>45501.0</v>
      </c>
      <c r="C81" s="12" t="s">
        <v>118</v>
      </c>
      <c r="D81" s="12" t="s">
        <v>119</v>
      </c>
      <c r="E81" s="12" t="s">
        <v>111</v>
      </c>
      <c r="F81" s="12" t="s">
        <v>112</v>
      </c>
      <c r="G81" s="12" t="s">
        <v>42</v>
      </c>
      <c r="H81" s="12">
        <v>2.0</v>
      </c>
      <c r="I81" s="12">
        <v>89.99</v>
      </c>
      <c r="J81" s="12" t="s">
        <v>57</v>
      </c>
      <c r="K81" s="12" t="s">
        <v>58</v>
      </c>
      <c r="L81" s="12" t="s">
        <v>20</v>
      </c>
      <c r="M81" s="13">
        <v>44976.0</v>
      </c>
      <c r="N81" s="12">
        <v>179.98</v>
      </c>
    </row>
    <row r="82" ht="15.75" customHeight="1">
      <c r="A82" s="12" t="s">
        <v>239</v>
      </c>
      <c r="B82" s="13">
        <v>45501.0</v>
      </c>
      <c r="C82" s="12" t="s">
        <v>151</v>
      </c>
      <c r="D82" s="12" t="s">
        <v>173</v>
      </c>
      <c r="E82" s="12" t="s">
        <v>94</v>
      </c>
      <c r="F82" s="12" t="s">
        <v>95</v>
      </c>
      <c r="G82" s="12" t="s">
        <v>62</v>
      </c>
      <c r="H82" s="12">
        <v>3.0</v>
      </c>
      <c r="I82" s="12">
        <v>299.99</v>
      </c>
      <c r="J82" s="12" t="s">
        <v>19</v>
      </c>
      <c r="K82" s="12" t="s">
        <v>13</v>
      </c>
      <c r="L82" s="12" t="s">
        <v>20</v>
      </c>
      <c r="M82" s="13">
        <v>44732.0</v>
      </c>
      <c r="N82" s="12">
        <v>899.97</v>
      </c>
    </row>
    <row r="83" ht="15.75" customHeight="1">
      <c r="A83" s="12" t="s">
        <v>240</v>
      </c>
      <c r="B83" s="13">
        <v>45503.0</v>
      </c>
      <c r="C83" s="12" t="s">
        <v>118</v>
      </c>
      <c r="D83" s="12" t="s">
        <v>119</v>
      </c>
      <c r="E83" s="12" t="s">
        <v>44</v>
      </c>
      <c r="F83" s="12" t="s">
        <v>45</v>
      </c>
      <c r="G83" s="12" t="s">
        <v>42</v>
      </c>
      <c r="H83" s="12">
        <v>2.0</v>
      </c>
      <c r="I83" s="12">
        <v>699.99</v>
      </c>
      <c r="J83" s="12" t="s">
        <v>46</v>
      </c>
      <c r="K83" s="12" t="s">
        <v>60</v>
      </c>
      <c r="L83" s="12" t="s">
        <v>47</v>
      </c>
      <c r="M83" s="13">
        <v>44999.0</v>
      </c>
      <c r="N83" s="12">
        <v>1399.98</v>
      </c>
    </row>
    <row r="84" ht="15.75" customHeight="1">
      <c r="A84" s="12" t="s">
        <v>241</v>
      </c>
      <c r="B84" s="13">
        <v>45504.0</v>
      </c>
      <c r="C84" s="12" t="s">
        <v>149</v>
      </c>
      <c r="D84" s="12" t="s">
        <v>150</v>
      </c>
      <c r="E84" s="12" t="s">
        <v>16</v>
      </c>
      <c r="F84" s="12" t="s">
        <v>18</v>
      </c>
      <c r="G84" s="12" t="s">
        <v>42</v>
      </c>
      <c r="H84" s="12">
        <v>4.0</v>
      </c>
      <c r="I84" s="12">
        <v>899.99</v>
      </c>
      <c r="J84" s="12" t="s">
        <v>67</v>
      </c>
      <c r="K84" s="12" t="s">
        <v>58</v>
      </c>
      <c r="L84" s="12" t="s">
        <v>59</v>
      </c>
      <c r="M84" s="13">
        <v>44523.0</v>
      </c>
      <c r="N84" s="12">
        <v>3599.96</v>
      </c>
    </row>
    <row r="85" ht="15.75" customHeight="1">
      <c r="A85" s="12" t="s">
        <v>242</v>
      </c>
      <c r="B85" s="13">
        <v>45509.0</v>
      </c>
      <c r="C85" s="12" t="s">
        <v>139</v>
      </c>
      <c r="D85" s="12" t="s">
        <v>243</v>
      </c>
      <c r="E85" s="12" t="s">
        <v>71</v>
      </c>
      <c r="F85" s="12" t="s">
        <v>72</v>
      </c>
      <c r="G85" s="12" t="s">
        <v>62</v>
      </c>
      <c r="H85" s="12">
        <v>2.0</v>
      </c>
      <c r="I85" s="12">
        <v>149.99</v>
      </c>
      <c r="J85" s="12" t="s">
        <v>46</v>
      </c>
      <c r="K85" s="12" t="s">
        <v>79</v>
      </c>
      <c r="L85" s="12" t="s">
        <v>20</v>
      </c>
      <c r="M85" s="13">
        <v>44542.0</v>
      </c>
      <c r="N85" s="12">
        <v>299.98</v>
      </c>
    </row>
    <row r="86" ht="15.75" customHeight="1">
      <c r="A86" s="12" t="s">
        <v>244</v>
      </c>
      <c r="B86" s="13">
        <v>45510.0</v>
      </c>
      <c r="C86" s="12" t="s">
        <v>136</v>
      </c>
      <c r="D86" s="12" t="s">
        <v>137</v>
      </c>
      <c r="E86" s="12" t="s">
        <v>71</v>
      </c>
      <c r="F86" s="12" t="s">
        <v>72</v>
      </c>
      <c r="G86" s="12" t="s">
        <v>62</v>
      </c>
      <c r="H86" s="12">
        <v>2.0</v>
      </c>
      <c r="I86" s="12">
        <v>149.99</v>
      </c>
      <c r="J86" s="12" t="s">
        <v>67</v>
      </c>
      <c r="K86" s="12" t="s">
        <v>43</v>
      </c>
      <c r="L86" s="12" t="s">
        <v>59</v>
      </c>
      <c r="M86" s="13">
        <v>44667.0</v>
      </c>
      <c r="N86" s="12">
        <v>299.98</v>
      </c>
    </row>
    <row r="87" ht="15.75" customHeight="1">
      <c r="A87" s="12" t="s">
        <v>245</v>
      </c>
      <c r="B87" s="13">
        <v>45513.0</v>
      </c>
      <c r="C87" s="12" t="s">
        <v>113</v>
      </c>
      <c r="D87" s="12" t="s">
        <v>123</v>
      </c>
      <c r="E87" s="12" t="s">
        <v>111</v>
      </c>
      <c r="F87" s="12" t="s">
        <v>112</v>
      </c>
      <c r="G87" s="12" t="s">
        <v>42</v>
      </c>
      <c r="H87" s="12">
        <v>1.0</v>
      </c>
      <c r="I87" s="12">
        <v>89.99</v>
      </c>
      <c r="J87" s="12" t="s">
        <v>46</v>
      </c>
      <c r="K87" s="12" t="s">
        <v>60</v>
      </c>
      <c r="L87" s="12" t="s">
        <v>59</v>
      </c>
      <c r="M87" s="13">
        <v>45393.0</v>
      </c>
      <c r="N87" s="12">
        <v>89.99</v>
      </c>
    </row>
    <row r="88" ht="15.75" customHeight="1">
      <c r="A88" s="12" t="s">
        <v>246</v>
      </c>
      <c r="B88" s="13">
        <v>45515.0</v>
      </c>
      <c r="C88" s="12" t="s">
        <v>118</v>
      </c>
      <c r="D88" s="12" t="s">
        <v>119</v>
      </c>
      <c r="E88" s="12" t="s">
        <v>94</v>
      </c>
      <c r="F88" s="12" t="s">
        <v>95</v>
      </c>
      <c r="G88" s="12" t="s">
        <v>62</v>
      </c>
      <c r="H88" s="12">
        <v>5.0</v>
      </c>
      <c r="I88" s="12">
        <v>299.99</v>
      </c>
      <c r="J88" s="12" t="s">
        <v>46</v>
      </c>
      <c r="K88" s="12" t="s">
        <v>60</v>
      </c>
      <c r="L88" s="12" t="s">
        <v>20</v>
      </c>
      <c r="M88" s="13">
        <v>44965.0</v>
      </c>
      <c r="N88" s="12">
        <v>1499.95</v>
      </c>
    </row>
    <row r="89" ht="15.75" customHeight="1">
      <c r="A89" s="12" t="s">
        <v>248</v>
      </c>
      <c r="B89" s="13">
        <v>45517.0</v>
      </c>
      <c r="C89" s="12" t="s">
        <v>96</v>
      </c>
      <c r="D89" s="12" t="s">
        <v>213</v>
      </c>
      <c r="E89" s="12" t="s">
        <v>63</v>
      </c>
      <c r="F89" s="12" t="s">
        <v>65</v>
      </c>
      <c r="G89" s="12" t="s">
        <v>42</v>
      </c>
      <c r="H89" s="12">
        <v>4.0</v>
      </c>
      <c r="I89" s="12">
        <v>149.99</v>
      </c>
      <c r="J89" s="12" t="s">
        <v>67</v>
      </c>
      <c r="K89" s="12" t="s">
        <v>58</v>
      </c>
      <c r="L89" s="12" t="s">
        <v>47</v>
      </c>
      <c r="M89" s="13">
        <v>44820.0</v>
      </c>
      <c r="N89" s="12">
        <v>599.96</v>
      </c>
    </row>
    <row r="90" ht="15.75" customHeight="1">
      <c r="A90" s="12" t="s">
        <v>249</v>
      </c>
      <c r="B90" s="13">
        <v>45517.0</v>
      </c>
      <c r="C90" s="12" t="s">
        <v>156</v>
      </c>
      <c r="D90" s="12" t="s">
        <v>216</v>
      </c>
      <c r="E90" s="12" t="s">
        <v>40</v>
      </c>
      <c r="F90" s="12" t="s">
        <v>41</v>
      </c>
      <c r="G90" s="12" t="s">
        <v>42</v>
      </c>
      <c r="H90" s="12">
        <v>5.0</v>
      </c>
      <c r="I90" s="12">
        <v>249.99</v>
      </c>
      <c r="J90" s="12" t="s">
        <v>57</v>
      </c>
      <c r="K90" s="12" t="s">
        <v>43</v>
      </c>
      <c r="L90" s="12" t="s">
        <v>47</v>
      </c>
      <c r="M90" s="13">
        <v>44782.0</v>
      </c>
      <c r="N90" s="12">
        <v>1249.95</v>
      </c>
    </row>
    <row r="91" ht="15.75" customHeight="1">
      <c r="A91" s="12" t="s">
        <v>250</v>
      </c>
      <c r="B91" s="13">
        <v>45517.0</v>
      </c>
      <c r="C91" s="12" t="s">
        <v>92</v>
      </c>
      <c r="D91" s="12" t="s">
        <v>93</v>
      </c>
      <c r="E91" s="12" t="s">
        <v>40</v>
      </c>
      <c r="F91" s="12" t="s">
        <v>41</v>
      </c>
      <c r="G91" s="12" t="s">
        <v>42</v>
      </c>
      <c r="H91" s="12">
        <v>3.0</v>
      </c>
      <c r="I91" s="12">
        <v>249.99</v>
      </c>
      <c r="J91" s="12" t="s">
        <v>57</v>
      </c>
      <c r="K91" s="12" t="s">
        <v>60</v>
      </c>
      <c r="L91" s="12" t="s">
        <v>47</v>
      </c>
      <c r="M91" s="13">
        <v>44465.0</v>
      </c>
      <c r="N91" s="12">
        <v>749.97</v>
      </c>
    </row>
    <row r="92" ht="15.75" customHeight="1">
      <c r="A92" s="12" t="s">
        <v>251</v>
      </c>
      <c r="B92" s="13">
        <v>45517.0</v>
      </c>
      <c r="C92" s="12" t="s">
        <v>64</v>
      </c>
      <c r="D92" s="12" t="s">
        <v>66</v>
      </c>
      <c r="E92" s="12" t="s">
        <v>87</v>
      </c>
      <c r="F92" s="12" t="s">
        <v>89</v>
      </c>
      <c r="G92" s="12" t="s">
        <v>62</v>
      </c>
      <c r="H92" s="12">
        <v>4.0</v>
      </c>
      <c r="I92" s="12">
        <v>199.99</v>
      </c>
      <c r="J92" s="12" t="s">
        <v>19</v>
      </c>
      <c r="K92" s="12" t="s">
        <v>60</v>
      </c>
      <c r="L92" s="12" t="s">
        <v>59</v>
      </c>
      <c r="M92" s="13">
        <v>44458.0</v>
      </c>
      <c r="N92" s="12">
        <v>799.96</v>
      </c>
    </row>
    <row r="93" ht="15.75" customHeight="1">
      <c r="A93" s="12" t="s">
        <v>252</v>
      </c>
      <c r="B93" s="13">
        <v>45519.0</v>
      </c>
      <c r="C93" s="12" t="s">
        <v>182</v>
      </c>
      <c r="D93" s="12" t="s">
        <v>184</v>
      </c>
      <c r="E93" s="12" t="s">
        <v>87</v>
      </c>
      <c r="F93" s="12" t="s">
        <v>89</v>
      </c>
      <c r="G93" s="12" t="s">
        <v>62</v>
      </c>
      <c r="H93" s="12">
        <v>5.0</v>
      </c>
      <c r="I93" s="12">
        <v>199.99</v>
      </c>
      <c r="J93" s="12" t="s">
        <v>19</v>
      </c>
      <c r="K93" s="12" t="s">
        <v>60</v>
      </c>
      <c r="L93" s="12" t="s">
        <v>47</v>
      </c>
      <c r="M93" s="13">
        <v>44991.0</v>
      </c>
      <c r="N93" s="12">
        <v>999.95</v>
      </c>
    </row>
    <row r="94" ht="15.75" customHeight="1">
      <c r="A94" s="12" t="s">
        <v>253</v>
      </c>
      <c r="B94" s="13">
        <v>45522.0</v>
      </c>
      <c r="C94" s="12" t="s">
        <v>118</v>
      </c>
      <c r="D94" s="12" t="s">
        <v>119</v>
      </c>
      <c r="E94" s="12" t="s">
        <v>111</v>
      </c>
      <c r="F94" s="12" t="s">
        <v>112</v>
      </c>
      <c r="G94" s="12" t="s">
        <v>42</v>
      </c>
      <c r="H94" s="12">
        <v>2.0</v>
      </c>
      <c r="I94" s="12">
        <v>89.99</v>
      </c>
      <c r="J94" s="12" t="s">
        <v>19</v>
      </c>
      <c r="K94" s="12" t="s">
        <v>43</v>
      </c>
      <c r="L94" s="12" t="s">
        <v>47</v>
      </c>
      <c r="M94" s="13">
        <v>44972.0</v>
      </c>
      <c r="N94" s="12">
        <v>179.98</v>
      </c>
    </row>
    <row r="95" ht="15.75" customHeight="1">
      <c r="A95" s="12" t="s">
        <v>254</v>
      </c>
      <c r="B95" s="13">
        <v>45523.0</v>
      </c>
      <c r="C95" s="12" t="s">
        <v>226</v>
      </c>
      <c r="D95" s="12" t="s">
        <v>227</v>
      </c>
      <c r="E95" s="12" t="s">
        <v>16</v>
      </c>
      <c r="F95" s="12" t="s">
        <v>18</v>
      </c>
      <c r="G95" s="12" t="s">
        <v>42</v>
      </c>
      <c r="H95" s="12">
        <v>5.0</v>
      </c>
      <c r="I95" s="12">
        <v>899.99</v>
      </c>
      <c r="J95" s="12" t="s">
        <v>67</v>
      </c>
      <c r="K95" s="12" t="s">
        <v>43</v>
      </c>
      <c r="L95" s="12" t="s">
        <v>20</v>
      </c>
      <c r="M95" s="13">
        <v>44526.0</v>
      </c>
      <c r="N95" s="12">
        <v>4499.95</v>
      </c>
    </row>
    <row r="96" ht="15.75" customHeight="1">
      <c r="A96" s="12" t="s">
        <v>255</v>
      </c>
      <c r="B96" s="13">
        <v>45523.0</v>
      </c>
      <c r="C96" s="12" t="s">
        <v>142</v>
      </c>
      <c r="D96" s="12" t="s">
        <v>143</v>
      </c>
      <c r="E96" s="12" t="s">
        <v>63</v>
      </c>
      <c r="F96" s="12" t="s">
        <v>65</v>
      </c>
      <c r="G96" s="12" t="s">
        <v>42</v>
      </c>
      <c r="H96" s="12">
        <v>3.0</v>
      </c>
      <c r="I96" s="12">
        <v>149.99</v>
      </c>
      <c r="J96" s="12" t="s">
        <v>57</v>
      </c>
      <c r="K96" s="12" t="s">
        <v>43</v>
      </c>
      <c r="L96" s="12" t="s">
        <v>20</v>
      </c>
      <c r="M96" s="13">
        <v>44574.0</v>
      </c>
      <c r="N96" s="12">
        <v>449.97</v>
      </c>
    </row>
    <row r="97" ht="15.75" customHeight="1">
      <c r="A97" s="12" t="s">
        <v>256</v>
      </c>
      <c r="B97" s="13">
        <v>45526.0</v>
      </c>
      <c r="C97" s="12" t="s">
        <v>136</v>
      </c>
      <c r="D97" s="12" t="s">
        <v>137</v>
      </c>
      <c r="E97" s="12" t="s">
        <v>71</v>
      </c>
      <c r="F97" s="12" t="s">
        <v>72</v>
      </c>
      <c r="G97" s="12" t="s">
        <v>62</v>
      </c>
      <c r="H97" s="12">
        <v>5.0</v>
      </c>
      <c r="I97" s="12">
        <v>149.99</v>
      </c>
      <c r="J97" s="12" t="s">
        <v>46</v>
      </c>
      <c r="K97" s="12" t="s">
        <v>13</v>
      </c>
      <c r="L97" s="12" t="s">
        <v>20</v>
      </c>
      <c r="M97" s="13">
        <v>45310.0</v>
      </c>
      <c r="N97" s="12">
        <v>749.95</v>
      </c>
    </row>
    <row r="98" ht="15.75" customHeight="1">
      <c r="A98" s="12" t="s">
        <v>257</v>
      </c>
      <c r="B98" s="13">
        <v>45528.0</v>
      </c>
      <c r="C98" s="12" t="s">
        <v>214</v>
      </c>
      <c r="D98" s="12" t="s">
        <v>259</v>
      </c>
      <c r="E98" s="12" t="s">
        <v>76</v>
      </c>
      <c r="F98" s="12" t="s">
        <v>77</v>
      </c>
      <c r="G98" s="12" t="s">
        <v>14</v>
      </c>
      <c r="H98" s="12">
        <v>3.0</v>
      </c>
      <c r="I98" s="12">
        <v>79.99</v>
      </c>
      <c r="J98" s="12" t="s">
        <v>19</v>
      </c>
      <c r="K98" s="12" t="s">
        <v>13</v>
      </c>
      <c r="L98" s="12" t="s">
        <v>47</v>
      </c>
      <c r="M98" s="13">
        <v>44779.0</v>
      </c>
      <c r="N98" s="12">
        <v>239.97</v>
      </c>
    </row>
    <row r="99" ht="15.75" customHeight="1">
      <c r="A99" s="12" t="s">
        <v>260</v>
      </c>
      <c r="B99" s="13">
        <v>45528.0</v>
      </c>
      <c r="C99" s="12" t="s">
        <v>170</v>
      </c>
      <c r="D99" s="12" t="s">
        <v>171</v>
      </c>
      <c r="E99" s="12" t="s">
        <v>40</v>
      </c>
      <c r="F99" s="12" t="s">
        <v>41</v>
      </c>
      <c r="G99" s="12" t="s">
        <v>42</v>
      </c>
      <c r="H99" s="12">
        <v>2.0</v>
      </c>
      <c r="I99" s="12">
        <v>249.99</v>
      </c>
      <c r="J99" s="12" t="s">
        <v>19</v>
      </c>
      <c r="K99" s="12" t="s">
        <v>58</v>
      </c>
      <c r="L99" s="12" t="s">
        <v>59</v>
      </c>
      <c r="M99" s="13">
        <v>44572.0</v>
      </c>
      <c r="N99" s="12">
        <v>499.98</v>
      </c>
    </row>
    <row r="100" ht="15.75" customHeight="1">
      <c r="A100" s="12" t="s">
        <v>261</v>
      </c>
      <c r="B100" s="13">
        <v>45532.0</v>
      </c>
      <c r="C100" s="12" t="s">
        <v>226</v>
      </c>
      <c r="D100" s="12" t="s">
        <v>227</v>
      </c>
      <c r="E100" s="12" t="s">
        <v>44</v>
      </c>
      <c r="F100" s="12" t="s">
        <v>45</v>
      </c>
      <c r="G100" s="12" t="s">
        <v>42</v>
      </c>
      <c r="H100" s="12">
        <v>1.0</v>
      </c>
      <c r="I100" s="12">
        <v>699.99</v>
      </c>
      <c r="J100" s="12" t="s">
        <v>19</v>
      </c>
      <c r="K100" s="12" t="s">
        <v>13</v>
      </c>
      <c r="L100" s="12" t="s">
        <v>47</v>
      </c>
      <c r="M100" s="13">
        <v>44497.0</v>
      </c>
      <c r="N100" s="12">
        <v>699.99</v>
      </c>
    </row>
    <row r="101" ht="15.75" customHeight="1">
      <c r="A101" s="12" t="s">
        <v>262</v>
      </c>
      <c r="B101" s="13">
        <v>45532.0</v>
      </c>
      <c r="C101" s="12" t="s">
        <v>202</v>
      </c>
      <c r="D101" s="12" t="s">
        <v>263</v>
      </c>
      <c r="E101" s="12" t="s">
        <v>63</v>
      </c>
      <c r="F101" s="12" t="s">
        <v>65</v>
      </c>
      <c r="G101" s="12" t="s">
        <v>42</v>
      </c>
      <c r="H101" s="12">
        <v>3.0</v>
      </c>
      <c r="I101" s="12">
        <v>149.99</v>
      </c>
      <c r="J101" s="12" t="s">
        <v>19</v>
      </c>
      <c r="K101" s="12" t="s">
        <v>79</v>
      </c>
      <c r="L101" s="12" t="s">
        <v>47</v>
      </c>
      <c r="M101" s="13">
        <v>45212.0</v>
      </c>
      <c r="N101" s="12">
        <v>449.97</v>
      </c>
    </row>
    <row r="102" ht="15.75" customHeight="1">
      <c r="A102" s="12" t="s">
        <v>264</v>
      </c>
      <c r="B102" s="13">
        <v>45534.0</v>
      </c>
      <c r="C102" s="12" t="s">
        <v>193</v>
      </c>
      <c r="D102" s="12" t="s">
        <v>265</v>
      </c>
      <c r="E102" s="12" t="s">
        <v>44</v>
      </c>
      <c r="F102" s="12" t="s">
        <v>45</v>
      </c>
      <c r="G102" s="12" t="s">
        <v>42</v>
      </c>
      <c r="H102" s="12">
        <v>2.0</v>
      </c>
      <c r="I102" s="12">
        <v>699.99</v>
      </c>
      <c r="J102" s="12" t="s">
        <v>46</v>
      </c>
      <c r="K102" s="12" t="s">
        <v>60</v>
      </c>
      <c r="L102" s="12" t="s">
        <v>47</v>
      </c>
      <c r="M102" s="13">
        <v>44421.0</v>
      </c>
      <c r="N102" s="12">
        <v>1399.98</v>
      </c>
    </row>
    <row r="103" ht="15.75" customHeight="1">
      <c r="A103" s="12" t="s">
        <v>266</v>
      </c>
      <c r="B103" s="13">
        <v>45537.0</v>
      </c>
      <c r="C103" s="12" t="s">
        <v>202</v>
      </c>
      <c r="D103" s="12" t="s">
        <v>263</v>
      </c>
      <c r="E103" s="12" t="s">
        <v>40</v>
      </c>
      <c r="F103" s="12" t="s">
        <v>41</v>
      </c>
      <c r="G103" s="12" t="s">
        <v>42</v>
      </c>
      <c r="H103" s="12">
        <v>1.0</v>
      </c>
      <c r="I103" s="12">
        <v>249.99</v>
      </c>
      <c r="J103" s="12" t="s">
        <v>46</v>
      </c>
      <c r="K103" s="12" t="s">
        <v>79</v>
      </c>
      <c r="L103" s="12" t="s">
        <v>47</v>
      </c>
      <c r="M103" s="13">
        <v>44685.0</v>
      </c>
      <c r="N103" s="12">
        <v>249.99</v>
      </c>
    </row>
    <row r="104" ht="15.75" customHeight="1">
      <c r="A104" s="12" t="s">
        <v>267</v>
      </c>
      <c r="B104" s="13">
        <v>45537.0</v>
      </c>
      <c r="C104" s="12" t="s">
        <v>37</v>
      </c>
      <c r="D104" s="12" t="s">
        <v>39</v>
      </c>
      <c r="E104" s="12" t="s">
        <v>40</v>
      </c>
      <c r="F104" s="12" t="s">
        <v>41</v>
      </c>
      <c r="G104" s="12" t="s">
        <v>42</v>
      </c>
      <c r="H104" s="12">
        <v>1.0</v>
      </c>
      <c r="I104" s="12">
        <v>249.99</v>
      </c>
      <c r="J104" s="12" t="s">
        <v>67</v>
      </c>
      <c r="K104" s="12" t="s">
        <v>60</v>
      </c>
      <c r="L104" s="12" t="s">
        <v>47</v>
      </c>
      <c r="M104" s="13">
        <v>45332.0</v>
      </c>
      <c r="N104" s="12">
        <v>249.99</v>
      </c>
    </row>
    <row r="105" ht="15.75" customHeight="1">
      <c r="A105" s="12" t="s">
        <v>268</v>
      </c>
      <c r="B105" s="13">
        <v>45538.0</v>
      </c>
      <c r="C105" s="12" t="s">
        <v>214</v>
      </c>
      <c r="D105" s="12" t="s">
        <v>259</v>
      </c>
      <c r="E105" s="12" t="s">
        <v>44</v>
      </c>
      <c r="F105" s="12" t="s">
        <v>45</v>
      </c>
      <c r="G105" s="12" t="s">
        <v>42</v>
      </c>
      <c r="H105" s="12">
        <v>2.0</v>
      </c>
      <c r="I105" s="12">
        <v>699.99</v>
      </c>
      <c r="J105" s="12" t="s">
        <v>67</v>
      </c>
      <c r="K105" s="12" t="s">
        <v>13</v>
      </c>
      <c r="L105" s="12" t="s">
        <v>47</v>
      </c>
      <c r="M105" s="13">
        <v>44870.0</v>
      </c>
      <c r="N105" s="12">
        <v>1399.98</v>
      </c>
    </row>
    <row r="106" ht="15.75" customHeight="1">
      <c r="A106" s="12" t="s">
        <v>269</v>
      </c>
      <c r="B106" s="13">
        <v>45541.0</v>
      </c>
      <c r="C106" s="12" t="s">
        <v>165</v>
      </c>
      <c r="D106" s="12" t="s">
        <v>166</v>
      </c>
      <c r="E106" s="12" t="s">
        <v>55</v>
      </c>
      <c r="F106" s="12" t="s">
        <v>56</v>
      </c>
      <c r="G106" s="12" t="s">
        <v>14</v>
      </c>
      <c r="H106" s="12">
        <v>3.0</v>
      </c>
      <c r="I106" s="12">
        <v>59.99</v>
      </c>
      <c r="J106" s="12" t="s">
        <v>46</v>
      </c>
      <c r="K106" s="12" t="s">
        <v>13</v>
      </c>
      <c r="L106" s="12" t="s">
        <v>47</v>
      </c>
      <c r="M106" s="13">
        <v>44717.0</v>
      </c>
      <c r="N106" s="12">
        <v>179.97</v>
      </c>
    </row>
    <row r="107" ht="15.75" customHeight="1">
      <c r="A107" s="12" t="s">
        <v>270</v>
      </c>
      <c r="B107" s="13">
        <v>45544.0</v>
      </c>
      <c r="C107" s="12" t="s">
        <v>48</v>
      </c>
      <c r="D107" s="12" t="s">
        <v>160</v>
      </c>
      <c r="E107" s="12" t="s">
        <v>55</v>
      </c>
      <c r="F107" s="12" t="s">
        <v>56</v>
      </c>
      <c r="G107" s="12" t="s">
        <v>14</v>
      </c>
      <c r="H107" s="12">
        <v>3.0</v>
      </c>
      <c r="I107" s="12">
        <v>59.99</v>
      </c>
      <c r="J107" s="12" t="s">
        <v>57</v>
      </c>
      <c r="K107" s="12" t="s">
        <v>43</v>
      </c>
      <c r="L107" s="12" t="s">
        <v>59</v>
      </c>
      <c r="M107" s="13">
        <v>44748.0</v>
      </c>
      <c r="N107" s="12">
        <v>179.97</v>
      </c>
    </row>
    <row r="108" ht="15.75" customHeight="1">
      <c r="A108" s="12" t="s">
        <v>272</v>
      </c>
      <c r="B108" s="13">
        <v>45544.0</v>
      </c>
      <c r="C108" s="12" t="s">
        <v>101</v>
      </c>
      <c r="D108" s="12" t="s">
        <v>168</v>
      </c>
      <c r="E108" s="12" t="s">
        <v>76</v>
      </c>
      <c r="F108" s="12" t="s">
        <v>77</v>
      </c>
      <c r="G108" s="12" t="s">
        <v>14</v>
      </c>
      <c r="H108" s="12">
        <v>4.0</v>
      </c>
      <c r="I108" s="12">
        <v>79.99</v>
      </c>
      <c r="J108" s="12" t="s">
        <v>19</v>
      </c>
      <c r="K108" s="12" t="s">
        <v>60</v>
      </c>
      <c r="L108" s="12" t="s">
        <v>20</v>
      </c>
      <c r="M108" s="13">
        <v>44530.0</v>
      </c>
      <c r="N108" s="12">
        <v>319.96</v>
      </c>
    </row>
    <row r="109" ht="15.75" customHeight="1">
      <c r="A109" s="12" t="s">
        <v>273</v>
      </c>
      <c r="B109" s="13">
        <v>45545.0</v>
      </c>
      <c r="C109" s="12" t="s">
        <v>83</v>
      </c>
      <c r="D109" s="12" t="s">
        <v>84</v>
      </c>
      <c r="E109" s="12" t="s">
        <v>76</v>
      </c>
      <c r="F109" s="12" t="s">
        <v>77</v>
      </c>
      <c r="G109" s="12" t="s">
        <v>14</v>
      </c>
      <c r="H109" s="12">
        <v>1.0</v>
      </c>
      <c r="I109" s="12">
        <v>79.99</v>
      </c>
      <c r="J109" s="12" t="s">
        <v>19</v>
      </c>
      <c r="K109" s="12" t="s">
        <v>79</v>
      </c>
      <c r="L109" s="12" t="s">
        <v>20</v>
      </c>
      <c r="M109" s="13">
        <v>44693.0</v>
      </c>
      <c r="N109" s="12">
        <v>79.99</v>
      </c>
    </row>
    <row r="110" ht="15.75" customHeight="1">
      <c r="A110" s="12" t="s">
        <v>274</v>
      </c>
      <c r="B110" s="13">
        <v>45547.0</v>
      </c>
      <c r="C110" s="12" t="s">
        <v>74</v>
      </c>
      <c r="D110" s="12" t="s">
        <v>75</v>
      </c>
      <c r="E110" s="12" t="s">
        <v>94</v>
      </c>
      <c r="F110" s="12" t="s">
        <v>95</v>
      </c>
      <c r="G110" s="12" t="s">
        <v>62</v>
      </c>
      <c r="H110" s="12">
        <v>3.0</v>
      </c>
      <c r="I110" s="12">
        <v>299.99</v>
      </c>
      <c r="J110" s="12" t="s">
        <v>46</v>
      </c>
      <c r="K110" s="12" t="s">
        <v>13</v>
      </c>
      <c r="L110" s="12" t="s">
        <v>47</v>
      </c>
      <c r="M110" s="13">
        <v>44494.0</v>
      </c>
      <c r="N110" s="12">
        <v>899.97</v>
      </c>
    </row>
    <row r="111" ht="15.75" customHeight="1">
      <c r="A111" s="12" t="s">
        <v>275</v>
      </c>
      <c r="B111" s="13">
        <v>45548.0</v>
      </c>
      <c r="C111" s="12" t="s">
        <v>64</v>
      </c>
      <c r="D111" s="12" t="s">
        <v>66</v>
      </c>
      <c r="E111" s="12" t="s">
        <v>111</v>
      </c>
      <c r="F111" s="12" t="s">
        <v>112</v>
      </c>
      <c r="G111" s="12" t="s">
        <v>42</v>
      </c>
      <c r="H111" s="12">
        <v>2.0</v>
      </c>
      <c r="I111" s="12">
        <v>89.99</v>
      </c>
      <c r="J111" s="12" t="s">
        <v>46</v>
      </c>
      <c r="K111" s="12" t="s">
        <v>58</v>
      </c>
      <c r="L111" s="12" t="s">
        <v>47</v>
      </c>
      <c r="M111" s="13">
        <v>44641.0</v>
      </c>
      <c r="N111" s="12">
        <v>179.98</v>
      </c>
    </row>
    <row r="112" ht="15.75" customHeight="1">
      <c r="A112" s="12" t="s">
        <v>276</v>
      </c>
      <c r="B112" s="13">
        <v>45550.0</v>
      </c>
      <c r="C112" s="12" t="s">
        <v>223</v>
      </c>
      <c r="D112" s="12" t="s">
        <v>277</v>
      </c>
      <c r="E112" s="12" t="s">
        <v>63</v>
      </c>
      <c r="F112" s="12" t="s">
        <v>65</v>
      </c>
      <c r="G112" s="12" t="s">
        <v>42</v>
      </c>
      <c r="H112" s="12">
        <v>4.0</v>
      </c>
      <c r="I112" s="12">
        <v>149.99</v>
      </c>
      <c r="J112" s="12" t="s">
        <v>19</v>
      </c>
      <c r="K112" s="12" t="s">
        <v>60</v>
      </c>
      <c r="L112" s="12" t="s">
        <v>20</v>
      </c>
      <c r="M112" s="13">
        <v>44909.0</v>
      </c>
      <c r="N112" s="12">
        <v>599.96</v>
      </c>
    </row>
    <row r="113" ht="15.75" customHeight="1">
      <c r="A113" s="12" t="s">
        <v>278</v>
      </c>
      <c r="B113" s="13">
        <v>45551.0</v>
      </c>
      <c r="C113" s="12" t="s">
        <v>92</v>
      </c>
      <c r="D113" s="12" t="s">
        <v>93</v>
      </c>
      <c r="E113" s="12" t="s">
        <v>40</v>
      </c>
      <c r="F113" s="12" t="s">
        <v>41</v>
      </c>
      <c r="G113" s="12" t="s">
        <v>42</v>
      </c>
      <c r="H113" s="12">
        <v>2.0</v>
      </c>
      <c r="I113" s="12">
        <v>249.99</v>
      </c>
      <c r="J113" s="12" t="s">
        <v>57</v>
      </c>
      <c r="K113" s="12" t="s">
        <v>58</v>
      </c>
      <c r="L113" s="12" t="s">
        <v>20</v>
      </c>
      <c r="M113" s="13">
        <v>44993.0</v>
      </c>
      <c r="N113" s="12">
        <v>499.98</v>
      </c>
    </row>
    <row r="114" ht="15.75" customHeight="1">
      <c r="A114" s="12" t="s">
        <v>279</v>
      </c>
      <c r="B114" s="13">
        <v>45551.0</v>
      </c>
      <c r="C114" s="12" t="s">
        <v>78</v>
      </c>
      <c r="D114" s="12" t="s">
        <v>180</v>
      </c>
      <c r="E114" s="12" t="s">
        <v>87</v>
      </c>
      <c r="F114" s="12" t="s">
        <v>89</v>
      </c>
      <c r="G114" s="12" t="s">
        <v>62</v>
      </c>
      <c r="H114" s="12">
        <v>4.0</v>
      </c>
      <c r="I114" s="12">
        <v>199.99</v>
      </c>
      <c r="J114" s="12" t="s">
        <v>67</v>
      </c>
      <c r="K114" s="12" t="s">
        <v>43</v>
      </c>
      <c r="L114" s="12" t="s">
        <v>20</v>
      </c>
      <c r="M114" s="13">
        <v>44458.0</v>
      </c>
      <c r="N114" s="12">
        <v>799.96</v>
      </c>
    </row>
    <row r="115" ht="15.75" customHeight="1">
      <c r="A115" s="12" t="s">
        <v>280</v>
      </c>
      <c r="B115" s="13">
        <v>45554.0</v>
      </c>
      <c r="C115" s="12" t="s">
        <v>151</v>
      </c>
      <c r="D115" s="12" t="s">
        <v>173</v>
      </c>
      <c r="E115" s="12" t="s">
        <v>111</v>
      </c>
      <c r="F115" s="12" t="s">
        <v>112</v>
      </c>
      <c r="G115" s="12" t="s">
        <v>42</v>
      </c>
      <c r="H115" s="12">
        <v>5.0</v>
      </c>
      <c r="I115" s="12">
        <v>89.99</v>
      </c>
      <c r="J115" s="12" t="s">
        <v>46</v>
      </c>
      <c r="K115" s="12" t="s">
        <v>43</v>
      </c>
      <c r="L115" s="12" t="s">
        <v>47</v>
      </c>
      <c r="M115" s="13">
        <v>44446.0</v>
      </c>
      <c r="N115" s="12">
        <v>449.95</v>
      </c>
    </row>
    <row r="116" ht="15.75" customHeight="1">
      <c r="A116" s="12" t="s">
        <v>281</v>
      </c>
      <c r="B116" s="13">
        <v>45554.0</v>
      </c>
      <c r="C116" s="12" t="s">
        <v>120</v>
      </c>
      <c r="D116" s="12" t="s">
        <v>282</v>
      </c>
      <c r="E116" s="12" t="s">
        <v>63</v>
      </c>
      <c r="F116" s="12" t="s">
        <v>65</v>
      </c>
      <c r="G116" s="12" t="s">
        <v>42</v>
      </c>
      <c r="H116" s="12">
        <v>1.0</v>
      </c>
      <c r="I116" s="12">
        <v>149.99</v>
      </c>
      <c r="J116" s="12" t="s">
        <v>57</v>
      </c>
      <c r="K116" s="12" t="s">
        <v>43</v>
      </c>
      <c r="L116" s="12" t="s">
        <v>59</v>
      </c>
      <c r="M116" s="13">
        <v>44482.0</v>
      </c>
      <c r="N116" s="12">
        <v>149.99</v>
      </c>
    </row>
    <row r="117" ht="15.75" customHeight="1">
      <c r="A117" s="12" t="s">
        <v>283</v>
      </c>
      <c r="B117" s="13">
        <v>45554.0</v>
      </c>
      <c r="C117" s="12" t="s">
        <v>103</v>
      </c>
      <c r="D117" s="12" t="s">
        <v>104</v>
      </c>
      <c r="E117" s="12" t="s">
        <v>44</v>
      </c>
      <c r="F117" s="12" t="s">
        <v>45</v>
      </c>
      <c r="G117" s="12" t="s">
        <v>42</v>
      </c>
      <c r="H117" s="12">
        <v>4.0</v>
      </c>
      <c r="I117" s="12">
        <v>699.99</v>
      </c>
      <c r="J117" s="12" t="s">
        <v>57</v>
      </c>
      <c r="K117" s="12" t="s">
        <v>58</v>
      </c>
      <c r="L117" s="12" t="s">
        <v>20</v>
      </c>
      <c r="M117" s="13">
        <v>44618.0</v>
      </c>
      <c r="N117" s="12">
        <v>2799.96</v>
      </c>
    </row>
    <row r="118" ht="15.75" customHeight="1">
      <c r="A118" s="12" t="s">
        <v>284</v>
      </c>
      <c r="B118" s="13">
        <v>45559.0</v>
      </c>
      <c r="C118" s="12" t="s">
        <v>193</v>
      </c>
      <c r="D118" s="12" t="s">
        <v>265</v>
      </c>
      <c r="E118" s="12" t="s">
        <v>16</v>
      </c>
      <c r="F118" s="12" t="s">
        <v>18</v>
      </c>
      <c r="G118" s="12" t="s">
        <v>42</v>
      </c>
      <c r="H118" s="12">
        <v>3.0</v>
      </c>
      <c r="I118" s="12">
        <v>899.99</v>
      </c>
      <c r="J118" s="12" t="s">
        <v>46</v>
      </c>
      <c r="K118" s="12" t="s">
        <v>60</v>
      </c>
      <c r="L118" s="12" t="s">
        <v>59</v>
      </c>
      <c r="M118" s="13">
        <v>45157.0</v>
      </c>
      <c r="N118" s="12">
        <v>2699.97</v>
      </c>
    </row>
    <row r="119" ht="15.75" customHeight="1">
      <c r="A119" s="12" t="s">
        <v>285</v>
      </c>
      <c r="B119" s="13">
        <v>45560.0</v>
      </c>
      <c r="C119" s="12" t="s">
        <v>125</v>
      </c>
      <c r="D119" s="12" t="s">
        <v>146</v>
      </c>
      <c r="E119" s="12" t="s">
        <v>71</v>
      </c>
      <c r="F119" s="12" t="s">
        <v>72</v>
      </c>
      <c r="G119" s="12" t="s">
        <v>62</v>
      </c>
      <c r="H119" s="12">
        <v>3.0</v>
      </c>
      <c r="I119" s="12">
        <v>149.99</v>
      </c>
      <c r="J119" s="12" t="s">
        <v>57</v>
      </c>
      <c r="K119" s="12" t="s">
        <v>43</v>
      </c>
      <c r="L119" s="12" t="s">
        <v>20</v>
      </c>
      <c r="M119" s="13">
        <v>44886.0</v>
      </c>
      <c r="N119" s="12">
        <v>449.97</v>
      </c>
    </row>
    <row r="120" ht="15.75" customHeight="1">
      <c r="A120" s="12" t="s">
        <v>286</v>
      </c>
      <c r="B120" s="13">
        <v>45563.0</v>
      </c>
      <c r="C120" s="12" t="s">
        <v>121</v>
      </c>
      <c r="D120" s="12" t="s">
        <v>134</v>
      </c>
      <c r="E120" s="12" t="s">
        <v>94</v>
      </c>
      <c r="F120" s="12" t="s">
        <v>95</v>
      </c>
      <c r="G120" s="12" t="s">
        <v>62</v>
      </c>
      <c r="H120" s="12">
        <v>2.0</v>
      </c>
      <c r="I120" s="12">
        <v>299.99</v>
      </c>
      <c r="J120" s="12" t="s">
        <v>67</v>
      </c>
      <c r="K120" s="12" t="s">
        <v>13</v>
      </c>
      <c r="L120" s="12" t="s">
        <v>20</v>
      </c>
      <c r="M120" s="13">
        <v>44569.0</v>
      </c>
      <c r="N120" s="12">
        <v>599.98</v>
      </c>
    </row>
    <row r="121" ht="15.75" customHeight="1">
      <c r="A121" s="12" t="s">
        <v>287</v>
      </c>
      <c r="B121" s="13">
        <v>45564.0</v>
      </c>
      <c r="C121" s="12" t="s">
        <v>133</v>
      </c>
      <c r="D121" s="12" t="s">
        <v>288</v>
      </c>
      <c r="E121" s="12" t="s">
        <v>87</v>
      </c>
      <c r="F121" s="12" t="s">
        <v>89</v>
      </c>
      <c r="G121" s="12" t="s">
        <v>62</v>
      </c>
      <c r="H121" s="12">
        <v>1.0</v>
      </c>
      <c r="I121" s="12">
        <v>199.99</v>
      </c>
      <c r="J121" s="12" t="s">
        <v>67</v>
      </c>
      <c r="K121" s="12" t="s">
        <v>43</v>
      </c>
      <c r="L121" s="12" t="s">
        <v>59</v>
      </c>
      <c r="M121" s="13">
        <v>44953.0</v>
      </c>
      <c r="N121" s="12">
        <v>199.99</v>
      </c>
    </row>
    <row r="122" ht="15.75" customHeight="1">
      <c r="A122" s="12" t="s">
        <v>289</v>
      </c>
      <c r="B122" s="13">
        <v>45566.0</v>
      </c>
      <c r="C122" s="12" t="s">
        <v>68</v>
      </c>
      <c r="D122" s="12" t="s">
        <v>70</v>
      </c>
      <c r="E122" s="12" t="s">
        <v>94</v>
      </c>
      <c r="F122" s="12" t="s">
        <v>95</v>
      </c>
      <c r="G122" s="12" t="s">
        <v>62</v>
      </c>
      <c r="H122" s="12">
        <v>4.0</v>
      </c>
      <c r="I122" s="12">
        <v>299.99</v>
      </c>
      <c r="J122" s="12" t="s">
        <v>19</v>
      </c>
      <c r="K122" s="12" t="s">
        <v>13</v>
      </c>
      <c r="L122" s="12" t="s">
        <v>47</v>
      </c>
      <c r="M122" s="13">
        <v>44460.0</v>
      </c>
      <c r="N122" s="12">
        <v>1199.96</v>
      </c>
    </row>
    <row r="123" ht="15.75" customHeight="1">
      <c r="A123" s="12" t="s">
        <v>290</v>
      </c>
      <c r="B123" s="13">
        <v>45572.0</v>
      </c>
      <c r="C123" s="12" t="s">
        <v>113</v>
      </c>
      <c r="D123" s="12" t="s">
        <v>123</v>
      </c>
      <c r="E123" s="12" t="s">
        <v>55</v>
      </c>
      <c r="F123" s="12" t="s">
        <v>56</v>
      </c>
      <c r="G123" s="12" t="s">
        <v>14</v>
      </c>
      <c r="H123" s="12">
        <v>2.0</v>
      </c>
      <c r="I123" s="12">
        <v>59.99</v>
      </c>
      <c r="J123" s="12" t="s">
        <v>46</v>
      </c>
      <c r="K123" s="12" t="s">
        <v>13</v>
      </c>
      <c r="L123" s="12" t="s">
        <v>20</v>
      </c>
      <c r="M123" s="13">
        <v>44579.0</v>
      </c>
      <c r="N123" s="12">
        <v>119.98</v>
      </c>
    </row>
    <row r="124" ht="15.75" customHeight="1">
      <c r="A124" s="12" t="s">
        <v>291</v>
      </c>
      <c r="B124" s="13">
        <v>45572.0</v>
      </c>
      <c r="C124" s="12" t="s">
        <v>193</v>
      </c>
      <c r="D124" s="12" t="s">
        <v>265</v>
      </c>
      <c r="E124" s="12" t="s">
        <v>63</v>
      </c>
      <c r="F124" s="12" t="s">
        <v>65</v>
      </c>
      <c r="G124" s="12" t="s">
        <v>42</v>
      </c>
      <c r="H124" s="12">
        <v>4.0</v>
      </c>
      <c r="I124" s="12">
        <v>149.99</v>
      </c>
      <c r="J124" s="12" t="s">
        <v>46</v>
      </c>
      <c r="K124" s="12" t="s">
        <v>60</v>
      </c>
      <c r="L124" s="12" t="s">
        <v>47</v>
      </c>
      <c r="M124" s="13">
        <v>45076.0</v>
      </c>
      <c r="N124" s="12">
        <v>599.96</v>
      </c>
    </row>
    <row r="125" ht="15.75" customHeight="1">
      <c r="A125" s="12" t="s">
        <v>292</v>
      </c>
      <c r="B125" s="13">
        <v>45573.0</v>
      </c>
      <c r="C125" s="12" t="s">
        <v>139</v>
      </c>
      <c r="D125" s="12" t="s">
        <v>243</v>
      </c>
      <c r="E125" s="12" t="s">
        <v>44</v>
      </c>
      <c r="F125" s="12" t="s">
        <v>45</v>
      </c>
      <c r="G125" s="12" t="s">
        <v>42</v>
      </c>
      <c r="H125" s="12">
        <v>2.0</v>
      </c>
      <c r="I125" s="12">
        <v>699.99</v>
      </c>
      <c r="J125" s="12" t="s">
        <v>67</v>
      </c>
      <c r="K125" s="12" t="s">
        <v>43</v>
      </c>
      <c r="L125" s="12" t="s">
        <v>47</v>
      </c>
      <c r="M125" s="13">
        <v>45274.0</v>
      </c>
      <c r="N125" s="12">
        <v>1399.98</v>
      </c>
    </row>
    <row r="126" ht="15.75" customHeight="1">
      <c r="A126" s="12" t="s">
        <v>293</v>
      </c>
      <c r="B126" s="13">
        <v>45573.0</v>
      </c>
      <c r="C126" s="12" t="s">
        <v>202</v>
      </c>
      <c r="D126" s="12" t="s">
        <v>263</v>
      </c>
      <c r="E126" s="12" t="s">
        <v>71</v>
      </c>
      <c r="F126" s="12" t="s">
        <v>72</v>
      </c>
      <c r="G126" s="12" t="s">
        <v>62</v>
      </c>
      <c r="H126" s="12">
        <v>3.0</v>
      </c>
      <c r="I126" s="12">
        <v>149.99</v>
      </c>
      <c r="J126" s="12" t="s">
        <v>46</v>
      </c>
      <c r="K126" s="12" t="s">
        <v>58</v>
      </c>
      <c r="L126" s="12" t="s">
        <v>59</v>
      </c>
      <c r="M126" s="13">
        <v>44940.0</v>
      </c>
      <c r="N126" s="12">
        <v>449.97</v>
      </c>
    </row>
    <row r="127" ht="15.75" customHeight="1">
      <c r="A127" s="12" t="s">
        <v>294</v>
      </c>
      <c r="B127" s="13">
        <v>45576.0</v>
      </c>
      <c r="C127" s="12" t="s">
        <v>151</v>
      </c>
      <c r="D127" s="12" t="s">
        <v>173</v>
      </c>
      <c r="E127" s="12" t="s">
        <v>94</v>
      </c>
      <c r="F127" s="12" t="s">
        <v>95</v>
      </c>
      <c r="G127" s="12" t="s">
        <v>62</v>
      </c>
      <c r="H127" s="12">
        <v>3.0</v>
      </c>
      <c r="I127" s="12">
        <v>299.99</v>
      </c>
      <c r="J127" s="12" t="s">
        <v>46</v>
      </c>
      <c r="K127" s="12" t="s">
        <v>13</v>
      </c>
      <c r="L127" s="12" t="s">
        <v>59</v>
      </c>
      <c r="M127" s="13">
        <v>45174.0</v>
      </c>
      <c r="N127" s="12">
        <v>899.97</v>
      </c>
    </row>
    <row r="128" ht="15.75" customHeight="1">
      <c r="A128" s="12" t="s">
        <v>295</v>
      </c>
      <c r="B128" s="13">
        <v>45579.0</v>
      </c>
      <c r="C128" s="12" t="s">
        <v>115</v>
      </c>
      <c r="D128" s="12" t="s">
        <v>116</v>
      </c>
      <c r="E128" s="12" t="s">
        <v>16</v>
      </c>
      <c r="F128" s="12" t="s">
        <v>18</v>
      </c>
      <c r="G128" s="12" t="s">
        <v>42</v>
      </c>
      <c r="H128" s="12">
        <v>3.0</v>
      </c>
      <c r="I128" s="12">
        <v>899.99</v>
      </c>
      <c r="J128" s="12" t="s">
        <v>57</v>
      </c>
      <c r="K128" s="12" t="s">
        <v>79</v>
      </c>
      <c r="L128" s="12" t="s">
        <v>20</v>
      </c>
      <c r="M128" s="13">
        <v>45215.0</v>
      </c>
      <c r="N128" s="12">
        <v>2699.97</v>
      </c>
    </row>
    <row r="129" ht="15.75" customHeight="1">
      <c r="A129" s="12" t="s">
        <v>296</v>
      </c>
      <c r="B129" s="13">
        <v>45581.0</v>
      </c>
      <c r="C129" s="12" t="s">
        <v>130</v>
      </c>
      <c r="D129" s="12" t="s">
        <v>131</v>
      </c>
      <c r="E129" s="12" t="s">
        <v>44</v>
      </c>
      <c r="F129" s="12" t="s">
        <v>45</v>
      </c>
      <c r="G129" s="12" t="s">
        <v>42</v>
      </c>
      <c r="H129" s="12">
        <v>5.0</v>
      </c>
      <c r="I129" s="12">
        <v>699.99</v>
      </c>
      <c r="J129" s="12" t="s">
        <v>19</v>
      </c>
      <c r="K129" s="12" t="s">
        <v>43</v>
      </c>
      <c r="L129" s="12" t="s">
        <v>59</v>
      </c>
      <c r="M129" s="13">
        <v>45008.0</v>
      </c>
      <c r="N129" s="12">
        <v>3499.95</v>
      </c>
    </row>
    <row r="130" ht="15.75" customHeight="1">
      <c r="A130" s="12" t="s">
        <v>297</v>
      </c>
      <c r="B130" s="13">
        <v>45581.0</v>
      </c>
      <c r="C130" s="12" t="s">
        <v>199</v>
      </c>
      <c r="D130" s="12" t="s">
        <v>200</v>
      </c>
      <c r="E130" s="12" t="s">
        <v>44</v>
      </c>
      <c r="F130" s="12" t="s">
        <v>45</v>
      </c>
      <c r="G130" s="12" t="s">
        <v>42</v>
      </c>
      <c r="H130" s="12">
        <v>4.0</v>
      </c>
      <c r="I130" s="12">
        <v>699.99</v>
      </c>
      <c r="J130" s="12" t="s">
        <v>46</v>
      </c>
      <c r="K130" s="12" t="s">
        <v>13</v>
      </c>
      <c r="L130" s="12" t="s">
        <v>20</v>
      </c>
      <c r="M130" s="13">
        <v>45385.0</v>
      </c>
      <c r="N130" s="12">
        <v>2799.96</v>
      </c>
    </row>
    <row r="131" ht="15.75" customHeight="1">
      <c r="A131" s="12" t="s">
        <v>298</v>
      </c>
      <c r="B131" s="13">
        <v>45581.0</v>
      </c>
      <c r="C131" s="12" t="s">
        <v>176</v>
      </c>
      <c r="D131" s="12" t="s">
        <v>177</v>
      </c>
      <c r="E131" s="12" t="s">
        <v>16</v>
      </c>
      <c r="F131" s="12" t="s">
        <v>18</v>
      </c>
      <c r="G131" s="12" t="s">
        <v>42</v>
      </c>
      <c r="H131" s="12">
        <v>1.0</v>
      </c>
      <c r="I131" s="12">
        <v>899.99</v>
      </c>
      <c r="J131" s="12" t="s">
        <v>46</v>
      </c>
      <c r="K131" s="12" t="s">
        <v>43</v>
      </c>
      <c r="L131" s="12" t="s">
        <v>59</v>
      </c>
      <c r="M131" s="13">
        <v>45369.0</v>
      </c>
      <c r="N131" s="12">
        <v>899.99</v>
      </c>
    </row>
    <row r="132" ht="15.75" customHeight="1">
      <c r="A132" s="12" t="s">
        <v>299</v>
      </c>
      <c r="B132" s="13">
        <v>45583.0</v>
      </c>
      <c r="C132" s="12" t="s">
        <v>214</v>
      </c>
      <c r="D132" s="12" t="s">
        <v>259</v>
      </c>
      <c r="E132" s="12" t="s">
        <v>63</v>
      </c>
      <c r="F132" s="12" t="s">
        <v>65</v>
      </c>
      <c r="G132" s="12" t="s">
        <v>42</v>
      </c>
      <c r="H132" s="12">
        <v>2.0</v>
      </c>
      <c r="I132" s="12">
        <v>149.99</v>
      </c>
      <c r="J132" s="12" t="s">
        <v>46</v>
      </c>
      <c r="K132" s="12" t="s">
        <v>79</v>
      </c>
      <c r="L132" s="12" t="s">
        <v>20</v>
      </c>
      <c r="M132" s="13">
        <v>44916.0</v>
      </c>
      <c r="N132" s="12">
        <v>299.98</v>
      </c>
    </row>
    <row r="133" ht="15.75" customHeight="1">
      <c r="A133" s="12" t="s">
        <v>300</v>
      </c>
      <c r="B133" s="13">
        <v>45586.0</v>
      </c>
      <c r="C133" s="12" t="s">
        <v>214</v>
      </c>
      <c r="D133" s="12" t="s">
        <v>259</v>
      </c>
      <c r="E133" s="12" t="s">
        <v>111</v>
      </c>
      <c r="F133" s="12" t="s">
        <v>112</v>
      </c>
      <c r="G133" s="12" t="s">
        <v>42</v>
      </c>
      <c r="H133" s="12">
        <v>3.0</v>
      </c>
      <c r="I133" s="12">
        <v>89.99</v>
      </c>
      <c r="J133" s="12" t="s">
        <v>57</v>
      </c>
      <c r="K133" s="12" t="s">
        <v>13</v>
      </c>
      <c r="L133" s="12" t="s">
        <v>20</v>
      </c>
      <c r="M133" s="13">
        <v>44551.0</v>
      </c>
      <c r="N133" s="12">
        <v>269.97</v>
      </c>
    </row>
    <row r="134" ht="15.75" customHeight="1">
      <c r="A134" s="12" t="s">
        <v>301</v>
      </c>
      <c r="B134" s="13">
        <v>45588.0</v>
      </c>
      <c r="C134" s="12" t="s">
        <v>64</v>
      </c>
      <c r="D134" s="12" t="s">
        <v>66</v>
      </c>
      <c r="E134" s="12" t="s">
        <v>63</v>
      </c>
      <c r="F134" s="12" t="s">
        <v>65</v>
      </c>
      <c r="G134" s="12" t="s">
        <v>42</v>
      </c>
      <c r="H134" s="12">
        <v>2.0</v>
      </c>
      <c r="I134" s="12">
        <v>149.99</v>
      </c>
      <c r="J134" s="12" t="s">
        <v>57</v>
      </c>
      <c r="K134" s="12" t="s">
        <v>13</v>
      </c>
      <c r="L134" s="12" t="s">
        <v>20</v>
      </c>
      <c r="M134" s="13">
        <v>44473.0</v>
      </c>
      <c r="N134" s="12">
        <v>299.98</v>
      </c>
    </row>
    <row r="135" ht="15.75" customHeight="1">
      <c r="A135" s="12" t="s">
        <v>302</v>
      </c>
      <c r="B135" s="13">
        <v>45588.0</v>
      </c>
      <c r="C135" s="12" t="s">
        <v>78</v>
      </c>
      <c r="D135" s="12" t="s">
        <v>180</v>
      </c>
      <c r="E135" s="12" t="s">
        <v>44</v>
      </c>
      <c r="F135" s="12" t="s">
        <v>45</v>
      </c>
      <c r="G135" s="12" t="s">
        <v>42</v>
      </c>
      <c r="H135" s="12">
        <v>2.0</v>
      </c>
      <c r="I135" s="12">
        <v>699.99</v>
      </c>
      <c r="J135" s="12" t="s">
        <v>19</v>
      </c>
      <c r="K135" s="12" t="s">
        <v>13</v>
      </c>
      <c r="L135" s="12" t="s">
        <v>20</v>
      </c>
      <c r="M135" s="13">
        <v>44992.0</v>
      </c>
      <c r="N135" s="12">
        <v>1399.98</v>
      </c>
    </row>
    <row r="136" ht="15.75" customHeight="1">
      <c r="A136" s="12" t="s">
        <v>304</v>
      </c>
      <c r="B136" s="13">
        <v>45589.0</v>
      </c>
      <c r="C136" s="12" t="s">
        <v>182</v>
      </c>
      <c r="D136" s="12" t="s">
        <v>184</v>
      </c>
      <c r="E136" s="12" t="s">
        <v>44</v>
      </c>
      <c r="F136" s="12" t="s">
        <v>45</v>
      </c>
      <c r="G136" s="12" t="s">
        <v>42</v>
      </c>
      <c r="H136" s="12">
        <v>5.0</v>
      </c>
      <c r="I136" s="12">
        <v>699.99</v>
      </c>
      <c r="J136" s="12" t="s">
        <v>19</v>
      </c>
      <c r="K136" s="12" t="s">
        <v>60</v>
      </c>
      <c r="L136" s="12" t="s">
        <v>47</v>
      </c>
      <c r="M136" s="13">
        <v>44635.0</v>
      </c>
      <c r="N136" s="12">
        <v>3499.95</v>
      </c>
    </row>
    <row r="137" ht="15.75" customHeight="1">
      <c r="A137" s="12" t="s">
        <v>306</v>
      </c>
      <c r="B137" s="13">
        <v>45592.0</v>
      </c>
      <c r="C137" s="12" t="s">
        <v>199</v>
      </c>
      <c r="D137" s="12" t="s">
        <v>200</v>
      </c>
      <c r="E137" s="12" t="s">
        <v>111</v>
      </c>
      <c r="F137" s="12" t="s">
        <v>112</v>
      </c>
      <c r="G137" s="12" t="s">
        <v>42</v>
      </c>
      <c r="H137" s="12">
        <v>3.0</v>
      </c>
      <c r="I137" s="12">
        <v>89.99</v>
      </c>
      <c r="J137" s="12" t="s">
        <v>46</v>
      </c>
      <c r="K137" s="12" t="s">
        <v>60</v>
      </c>
      <c r="L137" s="12" t="s">
        <v>59</v>
      </c>
      <c r="M137" s="13">
        <v>44615.0</v>
      </c>
      <c r="N137" s="12">
        <v>269.97</v>
      </c>
    </row>
    <row r="138" ht="15.75" customHeight="1">
      <c r="A138" s="12" t="s">
        <v>308</v>
      </c>
      <c r="B138" s="13">
        <v>45597.0</v>
      </c>
      <c r="C138" s="12" t="s">
        <v>37</v>
      </c>
      <c r="D138" s="12" t="s">
        <v>39</v>
      </c>
      <c r="E138" s="12" t="s">
        <v>40</v>
      </c>
      <c r="F138" s="12" t="s">
        <v>41</v>
      </c>
      <c r="G138" s="12" t="s">
        <v>42</v>
      </c>
      <c r="H138" s="12">
        <v>5.0</v>
      </c>
      <c r="I138" s="12">
        <v>249.99</v>
      </c>
      <c r="J138" s="12" t="s">
        <v>46</v>
      </c>
      <c r="K138" s="12" t="s">
        <v>58</v>
      </c>
      <c r="L138" s="12" t="s">
        <v>59</v>
      </c>
      <c r="M138" s="13">
        <v>44881.0</v>
      </c>
      <c r="N138" s="12">
        <v>1249.95</v>
      </c>
    </row>
    <row r="139" ht="15.75" customHeight="1">
      <c r="A139" s="12" t="s">
        <v>309</v>
      </c>
      <c r="B139" s="13">
        <v>45600.0</v>
      </c>
      <c r="C139" s="12" t="s">
        <v>92</v>
      </c>
      <c r="D139" s="12" t="s">
        <v>93</v>
      </c>
      <c r="E139" s="12" t="s">
        <v>94</v>
      </c>
      <c r="F139" s="12" t="s">
        <v>95</v>
      </c>
      <c r="G139" s="12" t="s">
        <v>62</v>
      </c>
      <c r="H139" s="12">
        <v>3.0</v>
      </c>
      <c r="I139" s="12">
        <v>299.99</v>
      </c>
      <c r="J139" s="12" t="s">
        <v>46</v>
      </c>
      <c r="K139" s="12" t="s">
        <v>58</v>
      </c>
      <c r="L139" s="12" t="s">
        <v>59</v>
      </c>
      <c r="M139" s="13">
        <v>44502.0</v>
      </c>
      <c r="N139" s="12">
        <v>899.97</v>
      </c>
    </row>
    <row r="140" ht="15.75" customHeight="1">
      <c r="A140" s="12" t="s">
        <v>312</v>
      </c>
      <c r="B140" s="13">
        <v>45603.0</v>
      </c>
      <c r="C140" s="12" t="s">
        <v>121</v>
      </c>
      <c r="D140" s="12" t="s">
        <v>134</v>
      </c>
      <c r="E140" s="12" t="s">
        <v>111</v>
      </c>
      <c r="F140" s="12" t="s">
        <v>112</v>
      </c>
      <c r="G140" s="12" t="s">
        <v>42</v>
      </c>
      <c r="H140" s="12">
        <v>3.0</v>
      </c>
      <c r="I140" s="12">
        <v>89.99</v>
      </c>
      <c r="J140" s="12" t="s">
        <v>46</v>
      </c>
      <c r="K140" s="12" t="s">
        <v>60</v>
      </c>
      <c r="L140" s="12" t="s">
        <v>47</v>
      </c>
      <c r="M140" s="13">
        <v>44420.0</v>
      </c>
      <c r="N140" s="12">
        <v>269.97</v>
      </c>
    </row>
    <row r="141" ht="15.75" customHeight="1">
      <c r="A141" s="12" t="s">
        <v>314</v>
      </c>
      <c r="B141" s="13">
        <v>45604.0</v>
      </c>
      <c r="C141" s="12" t="s">
        <v>113</v>
      </c>
      <c r="D141" s="12" t="s">
        <v>123</v>
      </c>
      <c r="E141" s="12" t="s">
        <v>71</v>
      </c>
      <c r="F141" s="12" t="s">
        <v>72</v>
      </c>
      <c r="G141" s="12" t="s">
        <v>62</v>
      </c>
      <c r="H141" s="12">
        <v>2.0</v>
      </c>
      <c r="I141" s="12">
        <v>149.99</v>
      </c>
      <c r="J141" s="12" t="s">
        <v>46</v>
      </c>
      <c r="K141" s="12" t="s">
        <v>79</v>
      </c>
      <c r="L141" s="12" t="s">
        <v>47</v>
      </c>
      <c r="M141" s="13">
        <v>44848.0</v>
      </c>
      <c r="N141" s="12">
        <v>299.98</v>
      </c>
    </row>
    <row r="142" ht="15.75" customHeight="1">
      <c r="A142" s="12" t="s">
        <v>326</v>
      </c>
      <c r="B142" s="13">
        <v>45605.0</v>
      </c>
      <c r="C142" s="12" t="s">
        <v>156</v>
      </c>
      <c r="D142" s="12" t="s">
        <v>216</v>
      </c>
      <c r="E142" s="12" t="s">
        <v>40</v>
      </c>
      <c r="F142" s="12" t="s">
        <v>41</v>
      </c>
      <c r="G142" s="12" t="s">
        <v>42</v>
      </c>
      <c r="H142" s="12">
        <v>1.0</v>
      </c>
      <c r="I142" s="12">
        <v>249.99</v>
      </c>
      <c r="J142" s="12" t="s">
        <v>46</v>
      </c>
      <c r="K142" s="12" t="s">
        <v>60</v>
      </c>
      <c r="L142" s="12" t="s">
        <v>47</v>
      </c>
      <c r="M142" s="13">
        <v>44828.0</v>
      </c>
      <c r="N142" s="12">
        <v>249.99</v>
      </c>
    </row>
    <row r="143" ht="15.75" customHeight="1">
      <c r="A143" s="12" t="s">
        <v>327</v>
      </c>
      <c r="B143" s="13">
        <v>45607.0</v>
      </c>
      <c r="C143" s="12" t="s">
        <v>103</v>
      </c>
      <c r="D143" s="12" t="s">
        <v>104</v>
      </c>
      <c r="E143" s="12" t="s">
        <v>63</v>
      </c>
      <c r="F143" s="12" t="s">
        <v>65</v>
      </c>
      <c r="G143" s="12" t="s">
        <v>42</v>
      </c>
      <c r="H143" s="12">
        <v>3.0</v>
      </c>
      <c r="I143" s="12">
        <v>149.99</v>
      </c>
      <c r="J143" s="12" t="s">
        <v>19</v>
      </c>
      <c r="K143" s="12" t="s">
        <v>60</v>
      </c>
      <c r="L143" s="12" t="s">
        <v>20</v>
      </c>
      <c r="M143" s="13">
        <v>44769.0</v>
      </c>
      <c r="N143" s="12">
        <v>449.97</v>
      </c>
    </row>
    <row r="144" ht="15.75" customHeight="1">
      <c r="A144" s="12" t="s">
        <v>328</v>
      </c>
      <c r="B144" s="13">
        <v>45607.0</v>
      </c>
      <c r="C144" s="12" t="s">
        <v>37</v>
      </c>
      <c r="D144" s="12" t="s">
        <v>39</v>
      </c>
      <c r="E144" s="12" t="s">
        <v>55</v>
      </c>
      <c r="F144" s="12" t="s">
        <v>56</v>
      </c>
      <c r="G144" s="12" t="s">
        <v>14</v>
      </c>
      <c r="H144" s="12">
        <v>5.0</v>
      </c>
      <c r="I144" s="12">
        <v>59.99</v>
      </c>
      <c r="J144" s="12" t="s">
        <v>57</v>
      </c>
      <c r="K144" s="12" t="s">
        <v>79</v>
      </c>
      <c r="L144" s="12" t="s">
        <v>47</v>
      </c>
      <c r="M144" s="13">
        <v>44694.0</v>
      </c>
      <c r="N144" s="12">
        <v>299.95</v>
      </c>
    </row>
    <row r="145" ht="15.75" customHeight="1">
      <c r="A145" s="12" t="s">
        <v>329</v>
      </c>
      <c r="B145" s="13">
        <v>45607.0</v>
      </c>
      <c r="C145" s="12" t="s">
        <v>121</v>
      </c>
      <c r="D145" s="12" t="s">
        <v>134</v>
      </c>
      <c r="E145" s="12" t="s">
        <v>40</v>
      </c>
      <c r="F145" s="12" t="s">
        <v>41</v>
      </c>
      <c r="G145" s="12" t="s">
        <v>42</v>
      </c>
      <c r="H145" s="12">
        <v>4.0</v>
      </c>
      <c r="I145" s="12">
        <v>249.99</v>
      </c>
      <c r="J145" s="12" t="s">
        <v>46</v>
      </c>
      <c r="K145" s="12" t="s">
        <v>79</v>
      </c>
      <c r="L145" s="12" t="s">
        <v>59</v>
      </c>
      <c r="M145" s="13">
        <v>44659.0</v>
      </c>
      <c r="N145" s="12">
        <v>999.96</v>
      </c>
    </row>
    <row r="146" ht="15.75" customHeight="1">
      <c r="A146" s="12" t="s">
        <v>331</v>
      </c>
      <c r="B146" s="13">
        <v>45608.0</v>
      </c>
      <c r="C146" s="12" t="s">
        <v>78</v>
      </c>
      <c r="D146" s="12" t="s">
        <v>180</v>
      </c>
      <c r="E146" s="12" t="s">
        <v>71</v>
      </c>
      <c r="F146" s="12" t="s">
        <v>72</v>
      </c>
      <c r="G146" s="12" t="s">
        <v>62</v>
      </c>
      <c r="H146" s="12">
        <v>5.0</v>
      </c>
      <c r="I146" s="12">
        <v>149.99</v>
      </c>
      <c r="J146" s="12" t="s">
        <v>57</v>
      </c>
      <c r="K146" s="12" t="s">
        <v>13</v>
      </c>
      <c r="L146" s="12" t="s">
        <v>20</v>
      </c>
      <c r="M146" s="13">
        <v>44901.0</v>
      </c>
      <c r="N146" s="12">
        <v>749.95</v>
      </c>
    </row>
    <row r="147" ht="15.75" customHeight="1">
      <c r="A147" s="12" t="s">
        <v>332</v>
      </c>
      <c r="B147" s="13">
        <v>45608.0</v>
      </c>
      <c r="C147" s="12" t="s">
        <v>115</v>
      </c>
      <c r="D147" s="12" t="s">
        <v>116</v>
      </c>
      <c r="E147" s="12" t="s">
        <v>55</v>
      </c>
      <c r="F147" s="12" t="s">
        <v>56</v>
      </c>
      <c r="G147" s="12" t="s">
        <v>14</v>
      </c>
      <c r="H147" s="12">
        <v>3.0</v>
      </c>
      <c r="I147" s="12">
        <v>59.99</v>
      </c>
      <c r="J147" s="12" t="s">
        <v>67</v>
      </c>
      <c r="K147" s="12" t="s">
        <v>58</v>
      </c>
      <c r="L147" s="12" t="s">
        <v>59</v>
      </c>
      <c r="M147" s="13">
        <v>45260.0</v>
      </c>
      <c r="N147" s="12">
        <v>179.97</v>
      </c>
    </row>
    <row r="148" ht="15.75" customHeight="1">
      <c r="A148" s="12" t="s">
        <v>333</v>
      </c>
      <c r="B148" s="13">
        <v>45613.0</v>
      </c>
      <c r="C148" s="12" t="s">
        <v>193</v>
      </c>
      <c r="D148" s="12" t="s">
        <v>265</v>
      </c>
      <c r="E148" s="12" t="s">
        <v>71</v>
      </c>
      <c r="F148" s="12" t="s">
        <v>72</v>
      </c>
      <c r="G148" s="12" t="s">
        <v>62</v>
      </c>
      <c r="H148" s="12">
        <v>5.0</v>
      </c>
      <c r="I148" s="12">
        <v>149.99</v>
      </c>
      <c r="J148" s="12" t="s">
        <v>19</v>
      </c>
      <c r="K148" s="12" t="s">
        <v>60</v>
      </c>
      <c r="L148" s="12" t="s">
        <v>20</v>
      </c>
      <c r="M148" s="13">
        <v>44869.0</v>
      </c>
      <c r="N148" s="12">
        <v>749.95</v>
      </c>
    </row>
    <row r="149" ht="15.75" customHeight="1">
      <c r="A149" s="12" t="s">
        <v>334</v>
      </c>
      <c r="B149" s="13">
        <v>45613.0</v>
      </c>
      <c r="C149" s="12" t="s">
        <v>118</v>
      </c>
      <c r="D149" s="12" t="s">
        <v>119</v>
      </c>
      <c r="E149" s="12" t="s">
        <v>44</v>
      </c>
      <c r="F149" s="12" t="s">
        <v>45</v>
      </c>
      <c r="G149" s="12" t="s">
        <v>42</v>
      </c>
      <c r="H149" s="12">
        <v>2.0</v>
      </c>
      <c r="I149" s="12">
        <v>699.99</v>
      </c>
      <c r="J149" s="12" t="s">
        <v>57</v>
      </c>
      <c r="K149" s="12" t="s">
        <v>79</v>
      </c>
      <c r="L149" s="12" t="s">
        <v>59</v>
      </c>
      <c r="M149" s="13">
        <v>44770.0</v>
      </c>
      <c r="N149" s="12">
        <v>1399.98</v>
      </c>
    </row>
    <row r="150" ht="15.75" customHeight="1">
      <c r="A150" s="12" t="s">
        <v>335</v>
      </c>
      <c r="B150" s="13">
        <v>45617.0</v>
      </c>
      <c r="C150" s="12" t="s">
        <v>153</v>
      </c>
      <c r="D150" s="12" t="s">
        <v>154</v>
      </c>
      <c r="E150" s="12" t="s">
        <v>87</v>
      </c>
      <c r="F150" s="12" t="s">
        <v>89</v>
      </c>
      <c r="G150" s="12" t="s">
        <v>62</v>
      </c>
      <c r="H150" s="12">
        <v>4.0</v>
      </c>
      <c r="I150" s="12">
        <v>199.99</v>
      </c>
      <c r="J150" s="12" t="s">
        <v>67</v>
      </c>
      <c r="K150" s="12" t="s">
        <v>13</v>
      </c>
      <c r="L150" s="12" t="s">
        <v>47</v>
      </c>
      <c r="M150" s="13">
        <v>44427.0</v>
      </c>
      <c r="N150" s="12">
        <v>799.96</v>
      </c>
    </row>
    <row r="151" ht="15.75" customHeight="1">
      <c r="A151" s="12" t="s">
        <v>336</v>
      </c>
      <c r="B151" s="13">
        <v>45619.0</v>
      </c>
      <c r="C151" s="12" t="s">
        <v>197</v>
      </c>
      <c r="D151" s="12" t="s">
        <v>222</v>
      </c>
      <c r="E151" s="12" t="s">
        <v>55</v>
      </c>
      <c r="F151" s="12" t="s">
        <v>56</v>
      </c>
      <c r="G151" s="12" t="s">
        <v>14</v>
      </c>
      <c r="H151" s="12">
        <v>1.0</v>
      </c>
      <c r="I151" s="12">
        <v>59.99</v>
      </c>
      <c r="J151" s="12" t="s">
        <v>67</v>
      </c>
      <c r="K151" s="12" t="s">
        <v>79</v>
      </c>
      <c r="L151" s="12" t="s">
        <v>59</v>
      </c>
      <c r="M151" s="13">
        <v>44560.0</v>
      </c>
      <c r="N151" s="12">
        <v>59.99</v>
      </c>
    </row>
    <row r="152" ht="15.75" customHeight="1">
      <c r="A152" s="12" t="s">
        <v>337</v>
      </c>
      <c r="B152" s="13">
        <v>45619.0</v>
      </c>
      <c r="C152" s="12" t="s">
        <v>78</v>
      </c>
      <c r="D152" s="12" t="s">
        <v>180</v>
      </c>
      <c r="E152" s="12" t="s">
        <v>44</v>
      </c>
      <c r="F152" s="12" t="s">
        <v>45</v>
      </c>
      <c r="G152" s="12" t="s">
        <v>42</v>
      </c>
      <c r="H152" s="12">
        <v>3.0</v>
      </c>
      <c r="I152" s="12">
        <v>699.99</v>
      </c>
      <c r="J152" s="12" t="s">
        <v>57</v>
      </c>
      <c r="K152" s="12" t="s">
        <v>79</v>
      </c>
      <c r="L152" s="12" t="s">
        <v>59</v>
      </c>
      <c r="M152" s="13">
        <v>44583.0</v>
      </c>
      <c r="N152" s="12">
        <v>2099.97</v>
      </c>
    </row>
    <row r="153" ht="15.75" customHeight="1">
      <c r="A153" s="12" t="s">
        <v>338</v>
      </c>
      <c r="B153" s="13">
        <v>45622.0</v>
      </c>
      <c r="C153" s="12" t="s">
        <v>233</v>
      </c>
      <c r="D153" s="12" t="s">
        <v>339</v>
      </c>
      <c r="E153" s="12" t="s">
        <v>40</v>
      </c>
      <c r="F153" s="12" t="s">
        <v>41</v>
      </c>
      <c r="G153" s="12" t="s">
        <v>42</v>
      </c>
      <c r="H153" s="12">
        <v>5.0</v>
      </c>
      <c r="I153" s="12">
        <v>249.99</v>
      </c>
      <c r="J153" s="12" t="s">
        <v>46</v>
      </c>
      <c r="K153" s="12" t="s">
        <v>60</v>
      </c>
      <c r="L153" s="12" t="s">
        <v>20</v>
      </c>
      <c r="M153" s="13">
        <v>44873.0</v>
      </c>
      <c r="N153" s="12">
        <v>1249.95</v>
      </c>
    </row>
    <row r="154" ht="15.75" customHeight="1">
      <c r="A154" s="12" t="s">
        <v>340</v>
      </c>
      <c r="B154" s="13">
        <v>45623.0</v>
      </c>
      <c r="C154" s="12" t="s">
        <v>125</v>
      </c>
      <c r="D154" s="12" t="s">
        <v>146</v>
      </c>
      <c r="E154" s="12" t="s">
        <v>71</v>
      </c>
      <c r="F154" s="12" t="s">
        <v>72</v>
      </c>
      <c r="G154" s="12" t="s">
        <v>62</v>
      </c>
      <c r="H154" s="12">
        <v>2.0</v>
      </c>
      <c r="I154" s="12">
        <v>149.99</v>
      </c>
      <c r="J154" s="12" t="s">
        <v>19</v>
      </c>
      <c r="K154" s="12" t="s">
        <v>58</v>
      </c>
      <c r="L154" s="12" t="s">
        <v>59</v>
      </c>
      <c r="M154" s="13">
        <v>45101.0</v>
      </c>
      <c r="N154" s="12">
        <v>299.98</v>
      </c>
    </row>
    <row r="155" ht="15.75" customHeight="1">
      <c r="A155" s="12" t="s">
        <v>341</v>
      </c>
      <c r="B155" s="13">
        <v>45627.0</v>
      </c>
      <c r="C155" s="12" t="s">
        <v>53</v>
      </c>
      <c r="D155" s="12" t="s">
        <v>54</v>
      </c>
      <c r="E155" s="12" t="s">
        <v>94</v>
      </c>
      <c r="F155" s="12" t="s">
        <v>95</v>
      </c>
      <c r="G155" s="12" t="s">
        <v>62</v>
      </c>
      <c r="H155" s="12">
        <v>3.0</v>
      </c>
      <c r="I155" s="12">
        <v>299.99</v>
      </c>
      <c r="J155" s="12" t="s">
        <v>19</v>
      </c>
      <c r="K155" s="12" t="s">
        <v>58</v>
      </c>
      <c r="L155" s="12" t="s">
        <v>47</v>
      </c>
      <c r="M155" s="13">
        <v>44659.0</v>
      </c>
      <c r="N155" s="12">
        <v>899.97</v>
      </c>
    </row>
    <row r="156" ht="15.75" customHeight="1">
      <c r="A156" s="12" t="s">
        <v>342</v>
      </c>
      <c r="B156" s="13">
        <v>45627.0</v>
      </c>
      <c r="C156" s="12" t="s">
        <v>83</v>
      </c>
      <c r="D156" s="12" t="s">
        <v>84</v>
      </c>
      <c r="E156" s="12" t="s">
        <v>40</v>
      </c>
      <c r="F156" s="12" t="s">
        <v>41</v>
      </c>
      <c r="G156" s="12" t="s">
        <v>42</v>
      </c>
      <c r="H156" s="12">
        <v>5.0</v>
      </c>
      <c r="I156" s="12">
        <v>249.99</v>
      </c>
      <c r="J156" s="12" t="s">
        <v>19</v>
      </c>
      <c r="K156" s="12" t="s">
        <v>13</v>
      </c>
      <c r="L156" s="12" t="s">
        <v>47</v>
      </c>
      <c r="M156" s="13">
        <v>44485.0</v>
      </c>
      <c r="N156" s="12">
        <v>1249.95</v>
      </c>
    </row>
    <row r="157" ht="15.75" customHeight="1">
      <c r="A157" s="12" t="s">
        <v>343</v>
      </c>
      <c r="B157" s="13">
        <v>45627.0</v>
      </c>
      <c r="C157" s="12" t="s">
        <v>50</v>
      </c>
      <c r="D157" s="12" t="s">
        <v>51</v>
      </c>
      <c r="E157" s="12" t="s">
        <v>63</v>
      </c>
      <c r="F157" s="12" t="s">
        <v>65</v>
      </c>
      <c r="G157" s="12" t="s">
        <v>42</v>
      </c>
      <c r="H157" s="12">
        <v>2.0</v>
      </c>
      <c r="I157" s="12">
        <v>149.99</v>
      </c>
      <c r="J157" s="12" t="s">
        <v>19</v>
      </c>
      <c r="K157" s="12" t="s">
        <v>58</v>
      </c>
      <c r="L157" s="12" t="s">
        <v>47</v>
      </c>
      <c r="M157" s="13">
        <v>44475.0</v>
      </c>
      <c r="N157" s="12">
        <v>299.98</v>
      </c>
    </row>
    <row r="158" ht="15.75" customHeight="1">
      <c r="A158" s="12" t="s">
        <v>344</v>
      </c>
      <c r="B158" s="13">
        <v>45627.0</v>
      </c>
      <c r="C158" s="12" t="s">
        <v>118</v>
      </c>
      <c r="D158" s="12" t="s">
        <v>119</v>
      </c>
      <c r="E158" s="12" t="s">
        <v>44</v>
      </c>
      <c r="F158" s="12" t="s">
        <v>45</v>
      </c>
      <c r="G158" s="12" t="s">
        <v>42</v>
      </c>
      <c r="H158" s="12">
        <v>5.0</v>
      </c>
      <c r="I158" s="12">
        <v>699.99</v>
      </c>
      <c r="J158" s="12" t="s">
        <v>67</v>
      </c>
      <c r="K158" s="12" t="s">
        <v>79</v>
      </c>
      <c r="L158" s="12" t="s">
        <v>59</v>
      </c>
      <c r="M158" s="13">
        <v>44944.0</v>
      </c>
      <c r="N158" s="12">
        <v>3499.95</v>
      </c>
    </row>
    <row r="159" ht="15.75" customHeight="1">
      <c r="A159" s="12" t="s">
        <v>345</v>
      </c>
      <c r="B159" s="13">
        <v>45629.0</v>
      </c>
      <c r="C159" s="12" t="s">
        <v>120</v>
      </c>
      <c r="D159" s="12" t="s">
        <v>282</v>
      </c>
      <c r="E159" s="12" t="s">
        <v>40</v>
      </c>
      <c r="F159" s="12" t="s">
        <v>41</v>
      </c>
      <c r="G159" s="12" t="s">
        <v>42</v>
      </c>
      <c r="H159" s="12">
        <v>4.0</v>
      </c>
      <c r="I159" s="12">
        <v>249.99</v>
      </c>
      <c r="J159" s="12" t="s">
        <v>57</v>
      </c>
      <c r="K159" s="12" t="s">
        <v>43</v>
      </c>
      <c r="L159" s="12" t="s">
        <v>47</v>
      </c>
      <c r="M159" s="13">
        <v>45098.0</v>
      </c>
      <c r="N159" s="12">
        <v>999.96</v>
      </c>
    </row>
    <row r="160" ht="15.75" customHeight="1">
      <c r="A160" s="12" t="s">
        <v>346</v>
      </c>
      <c r="B160" s="13">
        <v>45630.0</v>
      </c>
      <c r="C160" s="12" t="s">
        <v>74</v>
      </c>
      <c r="D160" s="12" t="s">
        <v>75</v>
      </c>
      <c r="E160" s="12" t="s">
        <v>44</v>
      </c>
      <c r="F160" s="12" t="s">
        <v>45</v>
      </c>
      <c r="G160" s="12" t="s">
        <v>42</v>
      </c>
      <c r="H160" s="12">
        <v>4.0</v>
      </c>
      <c r="I160" s="12">
        <v>699.99</v>
      </c>
      <c r="J160" s="12" t="s">
        <v>46</v>
      </c>
      <c r="K160" s="12" t="s">
        <v>60</v>
      </c>
      <c r="L160" s="12" t="s">
        <v>47</v>
      </c>
      <c r="M160" s="13">
        <v>44703.0</v>
      </c>
      <c r="N160" s="12">
        <v>2799.96</v>
      </c>
    </row>
    <row r="161" ht="15.75" customHeight="1">
      <c r="A161" s="12" t="s">
        <v>347</v>
      </c>
      <c r="B161" s="13">
        <v>45635.0</v>
      </c>
      <c r="C161" s="12" t="s">
        <v>142</v>
      </c>
      <c r="D161" s="12" t="s">
        <v>143</v>
      </c>
      <c r="E161" s="12" t="s">
        <v>40</v>
      </c>
      <c r="F161" s="12" t="s">
        <v>41</v>
      </c>
      <c r="G161" s="12" t="s">
        <v>42</v>
      </c>
      <c r="H161" s="12">
        <v>2.0</v>
      </c>
      <c r="I161" s="12">
        <v>249.99</v>
      </c>
      <c r="J161" s="12" t="s">
        <v>46</v>
      </c>
      <c r="K161" s="12" t="s">
        <v>13</v>
      </c>
      <c r="L161" s="12" t="s">
        <v>47</v>
      </c>
      <c r="M161" s="13">
        <v>44396.0</v>
      </c>
      <c r="N161" s="12">
        <v>499.98</v>
      </c>
    </row>
    <row r="162" ht="15.75" customHeight="1">
      <c r="A162" s="12" t="s">
        <v>348</v>
      </c>
      <c r="B162" s="13">
        <v>45635.0</v>
      </c>
      <c r="C162" s="12" t="s">
        <v>81</v>
      </c>
      <c r="D162" s="12" t="s">
        <v>349</v>
      </c>
      <c r="E162" s="12" t="s">
        <v>55</v>
      </c>
      <c r="F162" s="12" t="s">
        <v>56</v>
      </c>
      <c r="G162" s="12" t="s">
        <v>14</v>
      </c>
      <c r="H162" s="12">
        <v>3.0</v>
      </c>
      <c r="I162" s="12">
        <v>59.99</v>
      </c>
      <c r="J162" s="12" t="s">
        <v>19</v>
      </c>
      <c r="K162" s="12" t="s">
        <v>13</v>
      </c>
      <c r="L162" s="12" t="s">
        <v>47</v>
      </c>
      <c r="M162" s="13">
        <v>45052.0</v>
      </c>
      <c r="N162" s="12">
        <v>179.97</v>
      </c>
    </row>
    <row r="163" ht="15.75" customHeight="1">
      <c r="A163" s="12" t="s">
        <v>350</v>
      </c>
      <c r="B163" s="13">
        <v>45635.0</v>
      </c>
      <c r="C163" s="12" t="s">
        <v>101</v>
      </c>
      <c r="D163" s="12" t="s">
        <v>168</v>
      </c>
      <c r="E163" s="12" t="s">
        <v>76</v>
      </c>
      <c r="F163" s="12" t="s">
        <v>77</v>
      </c>
      <c r="G163" s="12" t="s">
        <v>14</v>
      </c>
      <c r="H163" s="12">
        <v>4.0</v>
      </c>
      <c r="I163" s="12">
        <v>79.99</v>
      </c>
      <c r="J163" s="12" t="s">
        <v>67</v>
      </c>
      <c r="K163" s="12" t="s">
        <v>43</v>
      </c>
      <c r="L163" s="12" t="s">
        <v>59</v>
      </c>
      <c r="M163" s="13">
        <v>44921.0</v>
      </c>
      <c r="N163" s="12">
        <v>319.96</v>
      </c>
    </row>
    <row r="164" ht="15.75" customHeight="1">
      <c r="A164" s="12" t="s">
        <v>351</v>
      </c>
      <c r="B164" s="13">
        <v>45636.0</v>
      </c>
      <c r="C164" s="12" t="s">
        <v>149</v>
      </c>
      <c r="D164" s="12" t="s">
        <v>150</v>
      </c>
      <c r="E164" s="12" t="s">
        <v>76</v>
      </c>
      <c r="F164" s="12" t="s">
        <v>77</v>
      </c>
      <c r="G164" s="12" t="s">
        <v>14</v>
      </c>
      <c r="H164" s="12">
        <v>3.0</v>
      </c>
      <c r="I164" s="12">
        <v>79.99</v>
      </c>
      <c r="J164" s="12" t="s">
        <v>67</v>
      </c>
      <c r="K164" s="12" t="s">
        <v>43</v>
      </c>
      <c r="L164" s="12" t="s">
        <v>59</v>
      </c>
      <c r="M164" s="13">
        <v>44779.0</v>
      </c>
      <c r="N164" s="12">
        <v>239.97</v>
      </c>
    </row>
    <row r="165" ht="15.75" customHeight="1">
      <c r="A165" s="12" t="s">
        <v>352</v>
      </c>
      <c r="B165" s="13">
        <v>45638.0</v>
      </c>
      <c r="C165" s="12" t="s">
        <v>103</v>
      </c>
      <c r="D165" s="12" t="s">
        <v>104</v>
      </c>
      <c r="E165" s="12" t="s">
        <v>16</v>
      </c>
      <c r="F165" s="12" t="s">
        <v>18</v>
      </c>
      <c r="G165" s="12" t="s">
        <v>42</v>
      </c>
      <c r="H165" s="12">
        <v>2.0</v>
      </c>
      <c r="I165" s="12">
        <v>899.99</v>
      </c>
      <c r="J165" s="12" t="s">
        <v>19</v>
      </c>
      <c r="K165" s="12" t="s">
        <v>60</v>
      </c>
      <c r="L165" s="12" t="s">
        <v>20</v>
      </c>
      <c r="M165" s="13">
        <v>44406.0</v>
      </c>
      <c r="N165" s="12">
        <v>1799.98</v>
      </c>
    </row>
    <row r="166" ht="15.75" customHeight="1">
      <c r="A166" s="12" t="s">
        <v>353</v>
      </c>
      <c r="B166" s="13">
        <v>45641.0</v>
      </c>
      <c r="C166" s="12" t="s">
        <v>96</v>
      </c>
      <c r="D166" s="12" t="s">
        <v>213</v>
      </c>
      <c r="E166" s="12" t="s">
        <v>71</v>
      </c>
      <c r="F166" s="12" t="s">
        <v>72</v>
      </c>
      <c r="G166" s="12" t="s">
        <v>62</v>
      </c>
      <c r="H166" s="12">
        <v>1.0</v>
      </c>
      <c r="I166" s="12">
        <v>149.99</v>
      </c>
      <c r="J166" s="12" t="s">
        <v>67</v>
      </c>
      <c r="K166" s="12" t="s">
        <v>43</v>
      </c>
      <c r="L166" s="12" t="s">
        <v>59</v>
      </c>
      <c r="M166" s="13">
        <v>45200.0</v>
      </c>
      <c r="N166" s="12">
        <v>149.99</v>
      </c>
    </row>
    <row r="167" ht="15.75" customHeight="1">
      <c r="A167" s="12" t="s">
        <v>354</v>
      </c>
      <c r="B167" s="13">
        <v>45641.0</v>
      </c>
      <c r="C167" s="12" t="s">
        <v>165</v>
      </c>
      <c r="D167" s="12" t="s">
        <v>166</v>
      </c>
      <c r="E167" s="12" t="s">
        <v>94</v>
      </c>
      <c r="F167" s="12" t="s">
        <v>95</v>
      </c>
      <c r="G167" s="12" t="s">
        <v>62</v>
      </c>
      <c r="H167" s="12">
        <v>2.0</v>
      </c>
      <c r="I167" s="12">
        <v>299.99</v>
      </c>
      <c r="J167" s="12" t="s">
        <v>19</v>
      </c>
      <c r="K167" s="12" t="s">
        <v>43</v>
      </c>
      <c r="L167" s="12" t="s">
        <v>47</v>
      </c>
      <c r="M167" s="13">
        <v>44724.0</v>
      </c>
      <c r="N167" s="12">
        <v>599.98</v>
      </c>
    </row>
    <row r="168" ht="15.75" customHeight="1">
      <c r="A168" s="12" t="s">
        <v>355</v>
      </c>
      <c r="B168" s="13">
        <v>45644.0</v>
      </c>
      <c r="C168" s="12" t="s">
        <v>48</v>
      </c>
      <c r="D168" s="12" t="s">
        <v>160</v>
      </c>
      <c r="E168" s="12" t="s">
        <v>55</v>
      </c>
      <c r="F168" s="12" t="s">
        <v>56</v>
      </c>
      <c r="G168" s="12" t="s">
        <v>14</v>
      </c>
      <c r="H168" s="12">
        <v>2.0</v>
      </c>
      <c r="I168" s="12">
        <v>59.99</v>
      </c>
      <c r="J168" s="12" t="s">
        <v>19</v>
      </c>
      <c r="K168" s="12" t="s">
        <v>79</v>
      </c>
      <c r="L168" s="12" t="s">
        <v>20</v>
      </c>
      <c r="M168" s="13">
        <v>45191.0</v>
      </c>
      <c r="N168" s="12">
        <v>119.98</v>
      </c>
    </row>
    <row r="169" ht="15.75" customHeight="1">
      <c r="A169" s="12" t="s">
        <v>356</v>
      </c>
      <c r="B169" s="13">
        <v>45645.0</v>
      </c>
      <c r="C169" s="12" t="s">
        <v>96</v>
      </c>
      <c r="D169" s="12" t="s">
        <v>213</v>
      </c>
      <c r="E169" s="12" t="s">
        <v>111</v>
      </c>
      <c r="F169" s="12" t="s">
        <v>112</v>
      </c>
      <c r="G169" s="12" t="s">
        <v>42</v>
      </c>
      <c r="H169" s="12">
        <v>1.0</v>
      </c>
      <c r="I169" s="12">
        <v>89.99</v>
      </c>
      <c r="J169" s="12" t="s">
        <v>67</v>
      </c>
      <c r="K169" s="12" t="s">
        <v>13</v>
      </c>
      <c r="L169" s="12" t="s">
        <v>59</v>
      </c>
      <c r="M169" s="13">
        <v>44760.0</v>
      </c>
      <c r="N169" s="12">
        <v>89.99</v>
      </c>
    </row>
    <row r="170" ht="15.75" customHeight="1">
      <c r="A170" s="12" t="s">
        <v>357</v>
      </c>
      <c r="B170" s="13">
        <v>45645.0</v>
      </c>
      <c r="C170" s="12" t="s">
        <v>151</v>
      </c>
      <c r="D170" s="12" t="s">
        <v>173</v>
      </c>
      <c r="E170" s="12" t="s">
        <v>16</v>
      </c>
      <c r="F170" s="12" t="s">
        <v>18</v>
      </c>
      <c r="G170" s="12" t="s">
        <v>42</v>
      </c>
      <c r="H170" s="12">
        <v>5.0</v>
      </c>
      <c r="I170" s="12">
        <v>899.99</v>
      </c>
      <c r="J170" s="12" t="s">
        <v>67</v>
      </c>
      <c r="K170" s="12" t="s">
        <v>43</v>
      </c>
      <c r="L170" s="12" t="s">
        <v>59</v>
      </c>
      <c r="M170" s="13">
        <v>44625.0</v>
      </c>
      <c r="N170" s="12">
        <v>4499.95</v>
      </c>
    </row>
    <row r="171" ht="15.75" customHeight="1">
      <c r="A171" s="12" t="s">
        <v>358</v>
      </c>
      <c r="B171" s="13">
        <v>45646.0</v>
      </c>
      <c r="C171" s="12" t="s">
        <v>68</v>
      </c>
      <c r="D171" s="12" t="s">
        <v>70</v>
      </c>
      <c r="E171" s="12" t="s">
        <v>71</v>
      </c>
      <c r="F171" s="12" t="s">
        <v>72</v>
      </c>
      <c r="G171" s="12" t="s">
        <v>62</v>
      </c>
      <c r="H171" s="12">
        <v>2.0</v>
      </c>
      <c r="I171" s="12">
        <v>149.99</v>
      </c>
      <c r="J171" s="12" t="s">
        <v>19</v>
      </c>
      <c r="K171" s="12" t="s">
        <v>58</v>
      </c>
      <c r="L171" s="12" t="s">
        <v>20</v>
      </c>
      <c r="M171" s="13">
        <v>45239.0</v>
      </c>
      <c r="N171" s="12">
        <v>299.98</v>
      </c>
    </row>
    <row r="172" ht="15.75" customHeight="1">
      <c r="A172" s="12" t="s">
        <v>359</v>
      </c>
      <c r="B172" s="13">
        <v>45648.0</v>
      </c>
      <c r="C172" s="12" t="s">
        <v>125</v>
      </c>
      <c r="D172" s="12" t="s">
        <v>146</v>
      </c>
      <c r="E172" s="12" t="s">
        <v>63</v>
      </c>
      <c r="F172" s="12" t="s">
        <v>65</v>
      </c>
      <c r="G172" s="12" t="s">
        <v>42</v>
      </c>
      <c r="H172" s="12">
        <v>2.0</v>
      </c>
      <c r="I172" s="12">
        <v>149.99</v>
      </c>
      <c r="J172" s="12" t="s">
        <v>67</v>
      </c>
      <c r="K172" s="12" t="s">
        <v>79</v>
      </c>
      <c r="L172" s="12" t="s">
        <v>47</v>
      </c>
      <c r="M172" s="13">
        <v>45280.0</v>
      </c>
      <c r="N172" s="12">
        <v>299.98</v>
      </c>
    </row>
    <row r="173" ht="15.75" customHeight="1">
      <c r="A173" s="12" t="s">
        <v>360</v>
      </c>
      <c r="B173" s="13">
        <v>45648.0</v>
      </c>
      <c r="C173" s="12" t="s">
        <v>96</v>
      </c>
      <c r="D173" s="12" t="s">
        <v>213</v>
      </c>
      <c r="E173" s="12" t="s">
        <v>71</v>
      </c>
      <c r="F173" s="12" t="s">
        <v>72</v>
      </c>
      <c r="G173" s="12" t="s">
        <v>62</v>
      </c>
      <c r="H173" s="12">
        <v>3.0</v>
      </c>
      <c r="I173" s="12">
        <v>149.99</v>
      </c>
      <c r="J173" s="12" t="s">
        <v>67</v>
      </c>
      <c r="K173" s="12" t="s">
        <v>60</v>
      </c>
      <c r="L173" s="12" t="s">
        <v>59</v>
      </c>
      <c r="M173" s="13">
        <v>44522.0</v>
      </c>
      <c r="N173" s="12">
        <v>449.97</v>
      </c>
    </row>
    <row r="174" ht="15.75" customHeight="1">
      <c r="A174" s="12" t="s">
        <v>361</v>
      </c>
      <c r="B174" s="13">
        <v>45649.0</v>
      </c>
      <c r="C174" s="12" t="s">
        <v>53</v>
      </c>
      <c r="D174" s="12" t="s">
        <v>54</v>
      </c>
      <c r="E174" s="12" t="s">
        <v>94</v>
      </c>
      <c r="F174" s="12" t="s">
        <v>95</v>
      </c>
      <c r="G174" s="12" t="s">
        <v>62</v>
      </c>
      <c r="H174" s="12">
        <v>2.0</v>
      </c>
      <c r="I174" s="12">
        <v>299.99</v>
      </c>
      <c r="J174" s="12" t="s">
        <v>57</v>
      </c>
      <c r="K174" s="12" t="s">
        <v>58</v>
      </c>
      <c r="L174" s="12" t="s">
        <v>20</v>
      </c>
      <c r="M174" s="13">
        <v>44721.0</v>
      </c>
      <c r="N174" s="12">
        <v>599.98</v>
      </c>
    </row>
    <row r="175" ht="15.75" customHeight="1">
      <c r="A175" s="12" t="s">
        <v>362</v>
      </c>
      <c r="B175" s="13">
        <v>45654.0</v>
      </c>
      <c r="C175" s="12" t="s">
        <v>68</v>
      </c>
      <c r="D175" s="12" t="s">
        <v>70</v>
      </c>
      <c r="E175" s="12" t="s">
        <v>94</v>
      </c>
      <c r="F175" s="12" t="s">
        <v>95</v>
      </c>
      <c r="G175" s="12" t="s">
        <v>62</v>
      </c>
      <c r="H175" s="12">
        <v>2.0</v>
      </c>
      <c r="I175" s="12">
        <v>299.99</v>
      </c>
      <c r="J175" s="12" t="s">
        <v>19</v>
      </c>
      <c r="K175" s="12" t="s">
        <v>79</v>
      </c>
      <c r="L175" s="12" t="s">
        <v>20</v>
      </c>
      <c r="M175" s="13">
        <v>44771.0</v>
      </c>
      <c r="N175" s="12">
        <v>599.98</v>
      </c>
    </row>
    <row r="176" ht="15.75" customHeight="1">
      <c r="A176" s="12" t="s">
        <v>363</v>
      </c>
      <c r="B176" s="13">
        <v>45654.0</v>
      </c>
      <c r="C176" s="12" t="s">
        <v>149</v>
      </c>
      <c r="D176" s="12" t="s">
        <v>150</v>
      </c>
      <c r="E176" s="12" t="s">
        <v>87</v>
      </c>
      <c r="F176" s="12" t="s">
        <v>89</v>
      </c>
      <c r="G176" s="12" t="s">
        <v>62</v>
      </c>
      <c r="H176" s="12">
        <v>4.0</v>
      </c>
      <c r="I176" s="12">
        <v>199.99</v>
      </c>
      <c r="J176" s="12" t="s">
        <v>46</v>
      </c>
      <c r="K176" s="12" t="s">
        <v>13</v>
      </c>
      <c r="L176" s="12" t="s">
        <v>20</v>
      </c>
      <c r="M176" s="13">
        <v>44523.0</v>
      </c>
      <c r="N176" s="12">
        <v>799.96</v>
      </c>
    </row>
    <row r="177" ht="15.75" customHeight="1">
      <c r="A177" s="12" t="s">
        <v>364</v>
      </c>
      <c r="B177" s="13">
        <v>45655.0</v>
      </c>
      <c r="C177" s="12" t="s">
        <v>86</v>
      </c>
      <c r="D177" s="12" t="s">
        <v>88</v>
      </c>
      <c r="E177" s="12" t="s">
        <v>111</v>
      </c>
      <c r="F177" s="12" t="s">
        <v>112</v>
      </c>
      <c r="G177" s="12" t="s">
        <v>42</v>
      </c>
      <c r="H177" s="12">
        <v>1.0</v>
      </c>
      <c r="I177" s="12">
        <v>89.99</v>
      </c>
      <c r="J177" s="12" t="s">
        <v>46</v>
      </c>
      <c r="K177" s="12" t="s">
        <v>58</v>
      </c>
      <c r="L177" s="12" t="s">
        <v>47</v>
      </c>
      <c r="M177" s="13">
        <v>44591.0</v>
      </c>
      <c r="N177" s="12">
        <v>89.99</v>
      </c>
    </row>
    <row r="178" ht="15.75" customHeight="1">
      <c r="A178" s="12" t="s">
        <v>365</v>
      </c>
      <c r="B178" s="13">
        <v>45655.0</v>
      </c>
      <c r="C178" s="12" t="s">
        <v>142</v>
      </c>
      <c r="D178" s="12" t="s">
        <v>143</v>
      </c>
      <c r="E178" s="12" t="s">
        <v>71</v>
      </c>
      <c r="F178" s="12" t="s">
        <v>72</v>
      </c>
      <c r="G178" s="12" t="s">
        <v>62</v>
      </c>
      <c r="H178" s="12">
        <v>5.0</v>
      </c>
      <c r="I178" s="12">
        <v>149.99</v>
      </c>
      <c r="J178" s="12" t="s">
        <v>19</v>
      </c>
      <c r="K178" s="12" t="s">
        <v>13</v>
      </c>
      <c r="L178" s="12" t="s">
        <v>47</v>
      </c>
      <c r="M178" s="13">
        <v>45347.0</v>
      </c>
      <c r="N178" s="12">
        <v>749.95</v>
      </c>
    </row>
    <row r="179" ht="15.75" customHeight="1">
      <c r="A179" s="12" t="s">
        <v>366</v>
      </c>
      <c r="B179" s="13">
        <v>45657.0</v>
      </c>
      <c r="C179" s="12" t="s">
        <v>118</v>
      </c>
      <c r="D179" s="12" t="s">
        <v>119</v>
      </c>
      <c r="E179" s="12" t="s">
        <v>16</v>
      </c>
      <c r="F179" s="12" t="s">
        <v>18</v>
      </c>
      <c r="G179" s="12" t="s">
        <v>42</v>
      </c>
      <c r="H179" s="12">
        <v>1.0</v>
      </c>
      <c r="I179" s="12">
        <v>899.99</v>
      </c>
      <c r="J179" s="12" t="s">
        <v>57</v>
      </c>
      <c r="K179" s="12" t="s">
        <v>60</v>
      </c>
      <c r="L179" s="12" t="s">
        <v>47</v>
      </c>
      <c r="M179" s="13">
        <v>45050.0</v>
      </c>
      <c r="N179" s="12">
        <v>899.99</v>
      </c>
    </row>
    <row r="180" ht="15.75" customHeight="1">
      <c r="A180" s="12" t="s">
        <v>367</v>
      </c>
      <c r="B180" s="13">
        <v>45660.0</v>
      </c>
      <c r="C180" s="12" t="s">
        <v>151</v>
      </c>
      <c r="D180" s="12" t="s">
        <v>173</v>
      </c>
      <c r="E180" s="12" t="s">
        <v>111</v>
      </c>
      <c r="F180" s="12" t="s">
        <v>112</v>
      </c>
      <c r="G180" s="12" t="s">
        <v>42</v>
      </c>
      <c r="H180" s="12">
        <v>2.0</v>
      </c>
      <c r="I180" s="12">
        <v>89.99</v>
      </c>
      <c r="J180" s="12" t="s">
        <v>46</v>
      </c>
      <c r="K180" s="12" t="s">
        <v>58</v>
      </c>
      <c r="L180" s="12" t="s">
        <v>47</v>
      </c>
      <c r="M180" s="13">
        <v>44564.0</v>
      </c>
      <c r="N180" s="12">
        <v>179.98</v>
      </c>
    </row>
    <row r="181" ht="15.75" customHeight="1">
      <c r="A181" s="12" t="s">
        <v>368</v>
      </c>
      <c r="B181" s="13">
        <v>45661.0</v>
      </c>
      <c r="C181" s="12" t="s">
        <v>208</v>
      </c>
      <c r="D181" s="12" t="s">
        <v>369</v>
      </c>
      <c r="E181" s="12" t="s">
        <v>16</v>
      </c>
      <c r="F181" s="12" t="s">
        <v>18</v>
      </c>
      <c r="G181" s="12" t="s">
        <v>42</v>
      </c>
      <c r="H181" s="12">
        <v>1.0</v>
      </c>
      <c r="I181" s="12">
        <v>899.99</v>
      </c>
      <c r="J181" s="12" t="s">
        <v>57</v>
      </c>
      <c r="K181" s="12" t="s">
        <v>60</v>
      </c>
      <c r="L181" s="12" t="s">
        <v>59</v>
      </c>
      <c r="M181" s="13">
        <v>44752.0</v>
      </c>
      <c r="N181" s="12">
        <v>899.99</v>
      </c>
    </row>
    <row r="182" ht="15.75" customHeight="1">
      <c r="A182" s="12" t="s">
        <v>370</v>
      </c>
      <c r="B182" s="13">
        <v>45663.0</v>
      </c>
      <c r="C182" s="12" t="s">
        <v>90</v>
      </c>
      <c r="D182" s="12" t="s">
        <v>158</v>
      </c>
      <c r="E182" s="12" t="s">
        <v>63</v>
      </c>
      <c r="F182" s="12" t="s">
        <v>65</v>
      </c>
      <c r="G182" s="12" t="s">
        <v>42</v>
      </c>
      <c r="H182" s="12">
        <v>5.0</v>
      </c>
      <c r="I182" s="12">
        <v>149.99</v>
      </c>
      <c r="J182" s="12" t="s">
        <v>57</v>
      </c>
      <c r="K182" s="12" t="s">
        <v>43</v>
      </c>
      <c r="L182" s="12" t="s">
        <v>47</v>
      </c>
      <c r="M182" s="13">
        <v>44824.0</v>
      </c>
      <c r="N182" s="12">
        <v>749.95</v>
      </c>
    </row>
    <row r="183" ht="15.75" customHeight="1">
      <c r="A183" s="12" t="s">
        <v>371</v>
      </c>
      <c r="B183" s="13">
        <v>45663.0</v>
      </c>
      <c r="C183" s="12" t="s">
        <v>68</v>
      </c>
      <c r="D183" s="12" t="s">
        <v>70</v>
      </c>
      <c r="E183" s="12" t="s">
        <v>94</v>
      </c>
      <c r="F183" s="12" t="s">
        <v>95</v>
      </c>
      <c r="G183" s="12" t="s">
        <v>62</v>
      </c>
      <c r="H183" s="12">
        <v>3.0</v>
      </c>
      <c r="I183" s="12">
        <v>299.99</v>
      </c>
      <c r="J183" s="12" t="s">
        <v>19</v>
      </c>
      <c r="K183" s="12" t="s">
        <v>58</v>
      </c>
      <c r="L183" s="12" t="s">
        <v>59</v>
      </c>
      <c r="M183" s="13">
        <v>44422.0</v>
      </c>
      <c r="N183" s="12">
        <v>899.97</v>
      </c>
    </row>
    <row r="184" ht="15.75" customHeight="1">
      <c r="A184" s="12" t="s">
        <v>372</v>
      </c>
      <c r="B184" s="13">
        <v>45666.0</v>
      </c>
      <c r="C184" s="12" t="s">
        <v>92</v>
      </c>
      <c r="D184" s="12" t="s">
        <v>93</v>
      </c>
      <c r="E184" s="12" t="s">
        <v>44</v>
      </c>
      <c r="F184" s="12" t="s">
        <v>45</v>
      </c>
      <c r="G184" s="12" t="s">
        <v>42</v>
      </c>
      <c r="H184" s="12">
        <v>3.0</v>
      </c>
      <c r="I184" s="12">
        <v>699.99</v>
      </c>
      <c r="J184" s="12" t="s">
        <v>46</v>
      </c>
      <c r="K184" s="12" t="s">
        <v>13</v>
      </c>
      <c r="L184" s="12" t="s">
        <v>47</v>
      </c>
      <c r="M184" s="13">
        <v>45105.0</v>
      </c>
      <c r="N184" s="12">
        <v>2099.97</v>
      </c>
    </row>
    <row r="185" ht="15.75" customHeight="1">
      <c r="A185" s="12" t="s">
        <v>373</v>
      </c>
      <c r="B185" s="13">
        <v>45667.0</v>
      </c>
      <c r="C185" s="12" t="s">
        <v>142</v>
      </c>
      <c r="D185" s="12" t="s">
        <v>143</v>
      </c>
      <c r="E185" s="12" t="s">
        <v>87</v>
      </c>
      <c r="F185" s="12" t="s">
        <v>89</v>
      </c>
      <c r="G185" s="12" t="s">
        <v>62</v>
      </c>
      <c r="H185" s="12">
        <v>5.0</v>
      </c>
      <c r="I185" s="12">
        <v>199.99</v>
      </c>
      <c r="J185" s="12" t="s">
        <v>57</v>
      </c>
      <c r="K185" s="12" t="s">
        <v>13</v>
      </c>
      <c r="L185" s="12" t="s">
        <v>59</v>
      </c>
      <c r="M185" s="13">
        <v>44633.0</v>
      </c>
      <c r="N185" s="12">
        <v>999.95</v>
      </c>
    </row>
    <row r="186" ht="15.75" customHeight="1">
      <c r="A186" s="12" t="s">
        <v>374</v>
      </c>
      <c r="B186" s="13">
        <v>45667.0</v>
      </c>
      <c r="C186" s="12" t="s">
        <v>127</v>
      </c>
      <c r="D186" s="12" t="s">
        <v>128</v>
      </c>
      <c r="E186" s="12" t="s">
        <v>40</v>
      </c>
      <c r="F186" s="12" t="s">
        <v>41</v>
      </c>
      <c r="G186" s="12" t="s">
        <v>42</v>
      </c>
      <c r="H186" s="12">
        <v>5.0</v>
      </c>
      <c r="I186" s="12">
        <v>249.99</v>
      </c>
      <c r="J186" s="12" t="s">
        <v>46</v>
      </c>
      <c r="K186" s="12" t="s">
        <v>58</v>
      </c>
      <c r="L186" s="12" t="s">
        <v>20</v>
      </c>
      <c r="M186" s="13">
        <v>45330.0</v>
      </c>
      <c r="N186" s="12">
        <v>1249.95</v>
      </c>
    </row>
    <row r="187" ht="15.75" customHeight="1">
      <c r="A187" s="12" t="s">
        <v>375</v>
      </c>
      <c r="B187" s="13">
        <v>45668.0</v>
      </c>
      <c r="C187" s="12" t="s">
        <v>165</v>
      </c>
      <c r="D187" s="12" t="s">
        <v>166</v>
      </c>
      <c r="E187" s="12" t="s">
        <v>63</v>
      </c>
      <c r="F187" s="12" t="s">
        <v>65</v>
      </c>
      <c r="G187" s="12" t="s">
        <v>42</v>
      </c>
      <c r="H187" s="12">
        <v>4.0</v>
      </c>
      <c r="I187" s="12">
        <v>149.99</v>
      </c>
      <c r="J187" s="12" t="s">
        <v>67</v>
      </c>
      <c r="K187" s="12" t="s">
        <v>43</v>
      </c>
      <c r="L187" s="12" t="s">
        <v>59</v>
      </c>
      <c r="M187" s="13">
        <v>44536.0</v>
      </c>
      <c r="N187" s="12">
        <v>599.96</v>
      </c>
    </row>
    <row r="188" ht="15.75" customHeight="1">
      <c r="A188" s="12" t="s">
        <v>376</v>
      </c>
      <c r="B188" s="13">
        <v>45668.0</v>
      </c>
      <c r="C188" s="12" t="s">
        <v>109</v>
      </c>
      <c r="D188" s="12" t="s">
        <v>110</v>
      </c>
      <c r="E188" s="12" t="s">
        <v>44</v>
      </c>
      <c r="F188" s="12" t="s">
        <v>45</v>
      </c>
      <c r="G188" s="12" t="s">
        <v>42</v>
      </c>
      <c r="H188" s="12">
        <v>3.0</v>
      </c>
      <c r="I188" s="12">
        <v>699.99</v>
      </c>
      <c r="J188" s="12" t="s">
        <v>19</v>
      </c>
      <c r="K188" s="12" t="s">
        <v>60</v>
      </c>
      <c r="L188" s="12" t="s">
        <v>47</v>
      </c>
      <c r="M188" s="13">
        <v>44602.0</v>
      </c>
      <c r="N188" s="12">
        <v>2099.97</v>
      </c>
    </row>
    <row r="189" ht="15.75" customHeight="1">
      <c r="A189" s="12" t="s">
        <v>377</v>
      </c>
      <c r="B189" s="13">
        <v>45670.0</v>
      </c>
      <c r="C189" s="12" t="s">
        <v>233</v>
      </c>
      <c r="D189" s="12" t="s">
        <v>339</v>
      </c>
      <c r="E189" s="12" t="s">
        <v>76</v>
      </c>
      <c r="F189" s="12" t="s">
        <v>77</v>
      </c>
      <c r="G189" s="12" t="s">
        <v>14</v>
      </c>
      <c r="H189" s="12">
        <v>1.0</v>
      </c>
      <c r="I189" s="12">
        <v>79.99</v>
      </c>
      <c r="J189" s="12" t="s">
        <v>46</v>
      </c>
      <c r="K189" s="12" t="s">
        <v>58</v>
      </c>
      <c r="L189" s="12" t="s">
        <v>20</v>
      </c>
      <c r="M189" s="13">
        <v>45322.0</v>
      </c>
      <c r="N189" s="12">
        <v>79.99</v>
      </c>
    </row>
    <row r="190" ht="15.75" customHeight="1">
      <c r="A190" s="12" t="s">
        <v>378</v>
      </c>
      <c r="B190" s="13">
        <v>45670.0</v>
      </c>
      <c r="C190" s="12" t="s">
        <v>118</v>
      </c>
      <c r="D190" s="12" t="s">
        <v>119</v>
      </c>
      <c r="E190" s="12" t="s">
        <v>94</v>
      </c>
      <c r="F190" s="12" t="s">
        <v>95</v>
      </c>
      <c r="G190" s="12" t="s">
        <v>62</v>
      </c>
      <c r="H190" s="12">
        <v>1.0</v>
      </c>
      <c r="I190" s="12">
        <v>299.99</v>
      </c>
      <c r="J190" s="12" t="s">
        <v>46</v>
      </c>
      <c r="K190" s="12" t="s">
        <v>60</v>
      </c>
      <c r="L190" s="12" t="s">
        <v>20</v>
      </c>
      <c r="M190" s="13">
        <v>44436.0</v>
      </c>
      <c r="N190" s="12">
        <v>299.99</v>
      </c>
    </row>
    <row r="191" ht="15.75" customHeight="1">
      <c r="A191" s="12" t="s">
        <v>379</v>
      </c>
      <c r="B191" s="13">
        <v>45671.0</v>
      </c>
      <c r="C191" s="12" t="s">
        <v>182</v>
      </c>
      <c r="D191" s="12" t="s">
        <v>184</v>
      </c>
      <c r="E191" s="12" t="s">
        <v>40</v>
      </c>
      <c r="F191" s="12" t="s">
        <v>41</v>
      </c>
      <c r="G191" s="12" t="s">
        <v>42</v>
      </c>
      <c r="H191" s="12">
        <v>4.0</v>
      </c>
      <c r="I191" s="12">
        <v>249.99</v>
      </c>
      <c r="J191" s="12" t="s">
        <v>46</v>
      </c>
      <c r="K191" s="12" t="s">
        <v>60</v>
      </c>
      <c r="L191" s="12" t="s">
        <v>47</v>
      </c>
      <c r="M191" s="13">
        <v>44460.0</v>
      </c>
      <c r="N191" s="12">
        <v>999.96</v>
      </c>
    </row>
    <row r="192" ht="15.75" customHeight="1">
      <c r="A192" s="12" t="s">
        <v>380</v>
      </c>
      <c r="B192" s="13">
        <v>45671.0</v>
      </c>
      <c r="C192" s="12" t="s">
        <v>149</v>
      </c>
      <c r="D192" s="12" t="s">
        <v>150</v>
      </c>
      <c r="E192" s="12" t="s">
        <v>63</v>
      </c>
      <c r="F192" s="12" t="s">
        <v>65</v>
      </c>
      <c r="G192" s="12" t="s">
        <v>42</v>
      </c>
      <c r="H192" s="12">
        <v>2.0</v>
      </c>
      <c r="I192" s="12">
        <v>149.99</v>
      </c>
      <c r="J192" s="12" t="s">
        <v>19</v>
      </c>
      <c r="K192" s="12" t="s">
        <v>60</v>
      </c>
      <c r="L192" s="12" t="s">
        <v>59</v>
      </c>
      <c r="M192" s="13">
        <v>44913.0</v>
      </c>
      <c r="N192" s="12">
        <v>299.98</v>
      </c>
    </row>
    <row r="193" ht="15.75" customHeight="1">
      <c r="A193" s="12" t="s">
        <v>381</v>
      </c>
      <c r="B193" s="13">
        <v>45671.0</v>
      </c>
      <c r="C193" s="12" t="s">
        <v>193</v>
      </c>
      <c r="D193" s="12" t="s">
        <v>265</v>
      </c>
      <c r="E193" s="12" t="s">
        <v>94</v>
      </c>
      <c r="F193" s="12" t="s">
        <v>95</v>
      </c>
      <c r="G193" s="12" t="s">
        <v>62</v>
      </c>
      <c r="H193" s="12">
        <v>3.0</v>
      </c>
      <c r="I193" s="12">
        <v>299.99</v>
      </c>
      <c r="J193" s="12" t="s">
        <v>46</v>
      </c>
      <c r="K193" s="12" t="s">
        <v>58</v>
      </c>
      <c r="L193" s="12" t="s">
        <v>20</v>
      </c>
      <c r="M193" s="13">
        <v>45204.0</v>
      </c>
      <c r="N193" s="12">
        <v>899.97</v>
      </c>
    </row>
    <row r="194" ht="15.75" customHeight="1">
      <c r="A194" s="12" t="s">
        <v>382</v>
      </c>
      <c r="B194" s="13">
        <v>45673.0</v>
      </c>
      <c r="C194" s="12" t="s">
        <v>214</v>
      </c>
      <c r="D194" s="12" t="s">
        <v>259</v>
      </c>
      <c r="E194" s="12" t="s">
        <v>87</v>
      </c>
      <c r="F194" s="12" t="s">
        <v>89</v>
      </c>
      <c r="G194" s="12" t="s">
        <v>62</v>
      </c>
      <c r="H194" s="12">
        <v>4.0</v>
      </c>
      <c r="I194" s="12">
        <v>199.99</v>
      </c>
      <c r="J194" s="12" t="s">
        <v>67</v>
      </c>
      <c r="K194" s="12" t="s">
        <v>58</v>
      </c>
      <c r="L194" s="12" t="s">
        <v>59</v>
      </c>
      <c r="M194" s="13">
        <v>44544.0</v>
      </c>
      <c r="N194" s="12">
        <v>799.96</v>
      </c>
    </row>
    <row r="195" ht="15.75" customHeight="1">
      <c r="A195" s="12" t="s">
        <v>383</v>
      </c>
      <c r="B195" s="13">
        <v>45673.0</v>
      </c>
      <c r="C195" s="12" t="s">
        <v>139</v>
      </c>
      <c r="D195" s="12" t="s">
        <v>243</v>
      </c>
      <c r="E195" s="12" t="s">
        <v>94</v>
      </c>
      <c r="F195" s="12" t="s">
        <v>95</v>
      </c>
      <c r="G195" s="12" t="s">
        <v>62</v>
      </c>
      <c r="H195" s="12">
        <v>5.0</v>
      </c>
      <c r="I195" s="12">
        <v>299.99</v>
      </c>
      <c r="J195" s="12" t="s">
        <v>67</v>
      </c>
      <c r="K195" s="12" t="s">
        <v>13</v>
      </c>
      <c r="L195" s="12" t="s">
        <v>20</v>
      </c>
      <c r="M195" s="13">
        <v>44431.0</v>
      </c>
      <c r="N195" s="12">
        <v>1499.95</v>
      </c>
    </row>
    <row r="196" ht="15.75" customHeight="1">
      <c r="A196" s="12" t="s">
        <v>384</v>
      </c>
      <c r="B196" s="13">
        <v>45673.0</v>
      </c>
      <c r="C196" s="12" t="s">
        <v>86</v>
      </c>
      <c r="D196" s="12" t="s">
        <v>88</v>
      </c>
      <c r="E196" s="12" t="s">
        <v>71</v>
      </c>
      <c r="F196" s="12" t="s">
        <v>72</v>
      </c>
      <c r="G196" s="12" t="s">
        <v>62</v>
      </c>
      <c r="H196" s="12">
        <v>3.0</v>
      </c>
      <c r="I196" s="12">
        <v>149.99</v>
      </c>
      <c r="J196" s="12" t="s">
        <v>46</v>
      </c>
      <c r="K196" s="12" t="s">
        <v>43</v>
      </c>
      <c r="L196" s="12" t="s">
        <v>59</v>
      </c>
      <c r="M196" s="13">
        <v>44395.0</v>
      </c>
      <c r="N196" s="12">
        <v>449.97</v>
      </c>
    </row>
    <row r="197" ht="15.75" customHeight="1">
      <c r="A197" s="12" t="s">
        <v>385</v>
      </c>
      <c r="B197" s="13">
        <v>45676.0</v>
      </c>
      <c r="C197" s="12" t="s">
        <v>90</v>
      </c>
      <c r="D197" s="12" t="s">
        <v>158</v>
      </c>
      <c r="E197" s="12" t="s">
        <v>55</v>
      </c>
      <c r="F197" s="12" t="s">
        <v>56</v>
      </c>
      <c r="G197" s="12" t="s">
        <v>14</v>
      </c>
      <c r="H197" s="12">
        <v>5.0</v>
      </c>
      <c r="I197" s="12">
        <v>59.99</v>
      </c>
      <c r="J197" s="12" t="s">
        <v>67</v>
      </c>
      <c r="K197" s="12" t="s">
        <v>43</v>
      </c>
      <c r="L197" s="12" t="s">
        <v>20</v>
      </c>
      <c r="M197" s="13">
        <v>44642.0</v>
      </c>
      <c r="N197" s="12">
        <v>299.95</v>
      </c>
    </row>
    <row r="198" ht="15.75" customHeight="1">
      <c r="A198" s="12" t="s">
        <v>386</v>
      </c>
      <c r="B198" s="13">
        <v>45682.0</v>
      </c>
      <c r="C198" s="12" t="s">
        <v>98</v>
      </c>
      <c r="D198" s="12" t="s">
        <v>99</v>
      </c>
      <c r="E198" s="12" t="s">
        <v>55</v>
      </c>
      <c r="F198" s="12" t="s">
        <v>56</v>
      </c>
      <c r="G198" s="12" t="s">
        <v>14</v>
      </c>
      <c r="H198" s="12">
        <v>4.0</v>
      </c>
      <c r="I198" s="12">
        <v>59.99</v>
      </c>
      <c r="J198" s="12" t="s">
        <v>67</v>
      </c>
      <c r="K198" s="12" t="s">
        <v>43</v>
      </c>
      <c r="L198" s="12" t="s">
        <v>59</v>
      </c>
      <c r="M198" s="13">
        <v>44564.0</v>
      </c>
      <c r="N198" s="12">
        <v>239.96</v>
      </c>
    </row>
    <row r="199" ht="15.75" customHeight="1">
      <c r="A199" s="12" t="s">
        <v>387</v>
      </c>
      <c r="B199" s="13">
        <v>45683.0</v>
      </c>
      <c r="C199" s="12" t="s">
        <v>74</v>
      </c>
      <c r="D199" s="12" t="s">
        <v>75</v>
      </c>
      <c r="E199" s="12" t="s">
        <v>40</v>
      </c>
      <c r="F199" s="12" t="s">
        <v>41</v>
      </c>
      <c r="G199" s="12" t="s">
        <v>42</v>
      </c>
      <c r="H199" s="12">
        <v>4.0</v>
      </c>
      <c r="I199" s="12">
        <v>249.99</v>
      </c>
      <c r="J199" s="12" t="s">
        <v>67</v>
      </c>
      <c r="K199" s="12" t="s">
        <v>13</v>
      </c>
      <c r="L199" s="12" t="s">
        <v>47</v>
      </c>
      <c r="M199" s="13">
        <v>45217.0</v>
      </c>
      <c r="N199" s="12">
        <v>999.96</v>
      </c>
    </row>
    <row r="200" ht="15.75" customHeight="1">
      <c r="A200" s="12" t="s">
        <v>388</v>
      </c>
      <c r="B200" s="13">
        <v>45686.0</v>
      </c>
      <c r="C200" s="12" t="s">
        <v>120</v>
      </c>
      <c r="D200" s="12" t="s">
        <v>282</v>
      </c>
      <c r="E200" s="12" t="s">
        <v>16</v>
      </c>
      <c r="F200" s="12" t="s">
        <v>18</v>
      </c>
      <c r="G200" s="12" t="s">
        <v>42</v>
      </c>
      <c r="H200" s="12">
        <v>4.0</v>
      </c>
      <c r="I200" s="12">
        <v>899.99</v>
      </c>
      <c r="J200" s="12" t="s">
        <v>57</v>
      </c>
      <c r="K200" s="12" t="s">
        <v>13</v>
      </c>
      <c r="L200" s="12" t="s">
        <v>20</v>
      </c>
      <c r="M200" s="13">
        <v>44734.0</v>
      </c>
      <c r="N200" s="12">
        <v>3599.96</v>
      </c>
    </row>
    <row r="201" ht="15.75" customHeight="1">
      <c r="A201" s="12" t="s">
        <v>389</v>
      </c>
      <c r="B201" s="13">
        <v>45686.0</v>
      </c>
      <c r="C201" s="12" t="s">
        <v>118</v>
      </c>
      <c r="D201" s="12" t="s">
        <v>119</v>
      </c>
      <c r="E201" s="12" t="s">
        <v>94</v>
      </c>
      <c r="F201" s="12" t="s">
        <v>95</v>
      </c>
      <c r="G201" s="12" t="s">
        <v>62</v>
      </c>
      <c r="H201" s="12">
        <v>3.0</v>
      </c>
      <c r="I201" s="12">
        <v>299.99</v>
      </c>
      <c r="J201" s="12" t="s">
        <v>67</v>
      </c>
      <c r="K201" s="12" t="s">
        <v>79</v>
      </c>
      <c r="L201" s="12" t="s">
        <v>59</v>
      </c>
      <c r="M201" s="13">
        <v>44952.0</v>
      </c>
      <c r="N201" s="12">
        <v>899.97</v>
      </c>
    </row>
    <row r="202" ht="15.75" customHeight="1">
      <c r="A202" s="12" t="s">
        <v>390</v>
      </c>
      <c r="B202" s="13">
        <v>45686.0</v>
      </c>
      <c r="C202" s="12" t="s">
        <v>233</v>
      </c>
      <c r="D202" s="12" t="s">
        <v>339</v>
      </c>
      <c r="E202" s="12" t="s">
        <v>44</v>
      </c>
      <c r="F202" s="12" t="s">
        <v>45</v>
      </c>
      <c r="G202" s="12" t="s">
        <v>42</v>
      </c>
      <c r="H202" s="12">
        <v>2.0</v>
      </c>
      <c r="I202" s="12">
        <v>699.99</v>
      </c>
      <c r="J202" s="12" t="s">
        <v>67</v>
      </c>
      <c r="K202" s="12" t="s">
        <v>13</v>
      </c>
      <c r="L202" s="12" t="s">
        <v>47</v>
      </c>
      <c r="M202" s="13">
        <v>44681.0</v>
      </c>
      <c r="N202" s="12">
        <v>1399.98</v>
      </c>
    </row>
    <row r="203" ht="15.75" customHeight="1">
      <c r="A203" s="12" t="s">
        <v>391</v>
      </c>
      <c r="B203" s="13">
        <v>45688.0</v>
      </c>
      <c r="C203" s="12" t="s">
        <v>92</v>
      </c>
      <c r="D203" s="12" t="s">
        <v>93</v>
      </c>
      <c r="E203" s="12" t="s">
        <v>44</v>
      </c>
      <c r="F203" s="12" t="s">
        <v>45</v>
      </c>
      <c r="G203" s="12" t="s">
        <v>42</v>
      </c>
      <c r="H203" s="12">
        <v>4.0</v>
      </c>
      <c r="I203" s="12">
        <v>699.99</v>
      </c>
      <c r="J203" s="12" t="s">
        <v>67</v>
      </c>
      <c r="K203" s="12" t="s">
        <v>79</v>
      </c>
      <c r="L203" s="12" t="s">
        <v>47</v>
      </c>
      <c r="M203" s="13">
        <v>44692.0</v>
      </c>
      <c r="N203" s="12">
        <v>2799.96</v>
      </c>
    </row>
    <row r="204" ht="15.75" customHeight="1">
      <c r="A204" s="12" t="s">
        <v>392</v>
      </c>
      <c r="B204" s="13">
        <v>45688.0</v>
      </c>
      <c r="C204" s="12" t="s">
        <v>153</v>
      </c>
      <c r="D204" s="12" t="s">
        <v>154</v>
      </c>
      <c r="E204" s="12" t="s">
        <v>111</v>
      </c>
      <c r="F204" s="12" t="s">
        <v>112</v>
      </c>
      <c r="G204" s="12" t="s">
        <v>42</v>
      </c>
      <c r="H204" s="12">
        <v>2.0</v>
      </c>
      <c r="I204" s="12">
        <v>89.99</v>
      </c>
      <c r="J204" s="12" t="s">
        <v>67</v>
      </c>
      <c r="K204" s="12" t="s">
        <v>58</v>
      </c>
      <c r="L204" s="12" t="s">
        <v>20</v>
      </c>
      <c r="M204" s="13">
        <v>44777.0</v>
      </c>
      <c r="N204" s="12">
        <v>179.98</v>
      </c>
    </row>
    <row r="205" ht="15.75" customHeight="1">
      <c r="A205" s="12" t="s">
        <v>393</v>
      </c>
      <c r="B205" s="13">
        <v>45688.0</v>
      </c>
      <c r="C205" s="12" t="s">
        <v>68</v>
      </c>
      <c r="D205" s="12" t="s">
        <v>70</v>
      </c>
      <c r="E205" s="12" t="s">
        <v>111</v>
      </c>
      <c r="F205" s="12" t="s">
        <v>112</v>
      </c>
      <c r="G205" s="12" t="s">
        <v>42</v>
      </c>
      <c r="H205" s="12">
        <v>3.0</v>
      </c>
      <c r="I205" s="12">
        <v>89.99</v>
      </c>
      <c r="J205" s="12" t="s">
        <v>67</v>
      </c>
      <c r="K205" s="12" t="s">
        <v>58</v>
      </c>
      <c r="L205" s="12" t="s">
        <v>47</v>
      </c>
      <c r="M205" s="13">
        <v>45307.0</v>
      </c>
      <c r="N205" s="12">
        <v>269.97</v>
      </c>
    </row>
    <row r="206" ht="15.75" customHeight="1">
      <c r="A206" s="12" t="s">
        <v>394</v>
      </c>
      <c r="B206" s="13">
        <v>45692.0</v>
      </c>
      <c r="C206" s="12" t="s">
        <v>208</v>
      </c>
      <c r="D206" s="12" t="s">
        <v>369</v>
      </c>
      <c r="E206" s="12" t="s">
        <v>55</v>
      </c>
      <c r="F206" s="12" t="s">
        <v>56</v>
      </c>
      <c r="G206" s="12" t="s">
        <v>14</v>
      </c>
      <c r="H206" s="12">
        <v>1.0</v>
      </c>
      <c r="I206" s="12">
        <v>59.99</v>
      </c>
      <c r="J206" s="12" t="s">
        <v>67</v>
      </c>
      <c r="K206" s="12" t="s">
        <v>13</v>
      </c>
      <c r="L206" s="12" t="s">
        <v>59</v>
      </c>
      <c r="M206" s="13">
        <v>45045.0</v>
      </c>
      <c r="N206" s="12">
        <v>59.99</v>
      </c>
    </row>
    <row r="207" ht="15.75" customHeight="1">
      <c r="A207" s="12" t="s">
        <v>395</v>
      </c>
      <c r="B207" s="13">
        <v>45695.0</v>
      </c>
      <c r="C207" s="12" t="s">
        <v>223</v>
      </c>
      <c r="D207" s="12" t="s">
        <v>277</v>
      </c>
      <c r="E207" s="12" t="s">
        <v>71</v>
      </c>
      <c r="F207" s="12" t="s">
        <v>72</v>
      </c>
      <c r="G207" s="12" t="s">
        <v>62</v>
      </c>
      <c r="H207" s="12">
        <v>3.0</v>
      </c>
      <c r="I207" s="12">
        <v>149.99</v>
      </c>
      <c r="J207" s="12" t="s">
        <v>67</v>
      </c>
      <c r="K207" s="12" t="s">
        <v>60</v>
      </c>
      <c r="L207" s="12" t="s">
        <v>47</v>
      </c>
      <c r="M207" s="13">
        <v>44564.0</v>
      </c>
      <c r="N207" s="12">
        <v>449.97</v>
      </c>
    </row>
    <row r="208" ht="15.75" customHeight="1">
      <c r="A208" s="12" t="s">
        <v>396</v>
      </c>
      <c r="B208" s="13">
        <v>45695.0</v>
      </c>
      <c r="C208" s="12" t="s">
        <v>127</v>
      </c>
      <c r="D208" s="12" t="s">
        <v>128</v>
      </c>
      <c r="E208" s="12" t="s">
        <v>94</v>
      </c>
      <c r="F208" s="12" t="s">
        <v>95</v>
      </c>
      <c r="G208" s="12" t="s">
        <v>62</v>
      </c>
      <c r="H208" s="12">
        <v>5.0</v>
      </c>
      <c r="I208" s="12">
        <v>299.99</v>
      </c>
      <c r="J208" s="12" t="s">
        <v>46</v>
      </c>
      <c r="K208" s="12" t="s">
        <v>58</v>
      </c>
      <c r="L208" s="12" t="s">
        <v>20</v>
      </c>
      <c r="M208" s="13">
        <v>44959.0</v>
      </c>
      <c r="N208" s="12">
        <v>1499.95</v>
      </c>
    </row>
    <row r="209" ht="15.75" customHeight="1">
      <c r="A209" s="12" t="s">
        <v>397</v>
      </c>
      <c r="B209" s="13">
        <v>45696.0</v>
      </c>
      <c r="C209" s="12" t="s">
        <v>176</v>
      </c>
      <c r="D209" s="12" t="s">
        <v>177</v>
      </c>
      <c r="E209" s="12" t="s">
        <v>55</v>
      </c>
      <c r="F209" s="12" t="s">
        <v>56</v>
      </c>
      <c r="G209" s="12" t="s">
        <v>14</v>
      </c>
      <c r="H209" s="12">
        <v>5.0</v>
      </c>
      <c r="I209" s="12">
        <v>59.99</v>
      </c>
      <c r="J209" s="12" t="s">
        <v>67</v>
      </c>
      <c r="K209" s="12" t="s">
        <v>13</v>
      </c>
      <c r="L209" s="12" t="s">
        <v>59</v>
      </c>
      <c r="M209" s="13">
        <v>45177.0</v>
      </c>
      <c r="N209" s="12">
        <v>299.95</v>
      </c>
    </row>
    <row r="210" ht="15.75" customHeight="1">
      <c r="A210" s="12" t="s">
        <v>398</v>
      </c>
      <c r="B210" s="13">
        <v>45701.0</v>
      </c>
      <c r="C210" s="12" t="s">
        <v>142</v>
      </c>
      <c r="D210" s="12" t="s">
        <v>143</v>
      </c>
      <c r="E210" s="12" t="s">
        <v>76</v>
      </c>
      <c r="F210" s="12" t="s">
        <v>77</v>
      </c>
      <c r="G210" s="12" t="s">
        <v>14</v>
      </c>
      <c r="H210" s="12">
        <v>3.0</v>
      </c>
      <c r="I210" s="12">
        <v>79.99</v>
      </c>
      <c r="J210" s="12" t="s">
        <v>19</v>
      </c>
      <c r="K210" s="12" t="s">
        <v>43</v>
      </c>
      <c r="L210" s="12" t="s">
        <v>47</v>
      </c>
      <c r="M210" s="13">
        <v>44436.0</v>
      </c>
      <c r="N210" s="12">
        <v>239.97</v>
      </c>
    </row>
    <row r="211" ht="15.75" customHeight="1">
      <c r="A211" s="12" t="s">
        <v>399</v>
      </c>
      <c r="B211" s="13">
        <v>45704.0</v>
      </c>
      <c r="C211" s="12" t="s">
        <v>53</v>
      </c>
      <c r="D211" s="12" t="s">
        <v>54</v>
      </c>
      <c r="E211" s="12" t="s">
        <v>87</v>
      </c>
      <c r="F211" s="12" t="s">
        <v>89</v>
      </c>
      <c r="G211" s="12" t="s">
        <v>62</v>
      </c>
      <c r="H211" s="12">
        <v>3.0</v>
      </c>
      <c r="I211" s="12">
        <v>199.99</v>
      </c>
      <c r="J211" s="12" t="s">
        <v>19</v>
      </c>
      <c r="K211" s="12" t="s">
        <v>13</v>
      </c>
      <c r="L211" s="12" t="s">
        <v>20</v>
      </c>
      <c r="M211" s="13">
        <v>44735.0</v>
      </c>
      <c r="N211" s="12">
        <v>599.97</v>
      </c>
    </row>
    <row r="212" ht="15.75" customHeight="1">
      <c r="A212" s="12" t="s">
        <v>400</v>
      </c>
      <c r="B212" s="13">
        <v>45704.0</v>
      </c>
      <c r="C212" s="12" t="s">
        <v>37</v>
      </c>
      <c r="D212" s="12" t="s">
        <v>39</v>
      </c>
      <c r="E212" s="12" t="s">
        <v>111</v>
      </c>
      <c r="F212" s="12" t="s">
        <v>112</v>
      </c>
      <c r="G212" s="12" t="s">
        <v>42</v>
      </c>
      <c r="H212" s="12">
        <v>2.0</v>
      </c>
      <c r="I212" s="12">
        <v>89.99</v>
      </c>
      <c r="J212" s="12" t="s">
        <v>57</v>
      </c>
      <c r="K212" s="12" t="s">
        <v>13</v>
      </c>
      <c r="L212" s="12" t="s">
        <v>20</v>
      </c>
      <c r="M212" s="13">
        <v>45257.0</v>
      </c>
      <c r="N212" s="12">
        <v>179.98</v>
      </c>
    </row>
    <row r="213" ht="15.75" customHeight="1">
      <c r="A213" s="12" t="s">
        <v>401</v>
      </c>
      <c r="B213" s="13">
        <v>45705.0</v>
      </c>
      <c r="C213" s="12" t="s">
        <v>133</v>
      </c>
      <c r="D213" s="12" t="s">
        <v>288</v>
      </c>
      <c r="E213" s="12" t="s">
        <v>71</v>
      </c>
      <c r="F213" s="12" t="s">
        <v>72</v>
      </c>
      <c r="G213" s="12" t="s">
        <v>62</v>
      </c>
      <c r="H213" s="12">
        <v>2.0</v>
      </c>
      <c r="I213" s="12">
        <v>149.99</v>
      </c>
      <c r="J213" s="12" t="s">
        <v>19</v>
      </c>
      <c r="K213" s="12" t="s">
        <v>58</v>
      </c>
      <c r="L213" s="12" t="s">
        <v>47</v>
      </c>
      <c r="M213" s="13">
        <v>44728.0</v>
      </c>
      <c r="N213" s="12">
        <v>299.98</v>
      </c>
    </row>
    <row r="214" ht="15.75" customHeight="1">
      <c r="A214" s="12" t="s">
        <v>402</v>
      </c>
      <c r="B214" s="13">
        <v>45707.0</v>
      </c>
      <c r="C214" s="12" t="s">
        <v>153</v>
      </c>
      <c r="D214" s="12" t="s">
        <v>154</v>
      </c>
      <c r="E214" s="12" t="s">
        <v>44</v>
      </c>
      <c r="F214" s="12" t="s">
        <v>45</v>
      </c>
      <c r="G214" s="12" t="s">
        <v>42</v>
      </c>
      <c r="H214" s="12">
        <v>5.0</v>
      </c>
      <c r="I214" s="12">
        <v>699.99</v>
      </c>
      <c r="J214" s="12" t="s">
        <v>57</v>
      </c>
      <c r="K214" s="12" t="s">
        <v>58</v>
      </c>
      <c r="L214" s="12" t="s">
        <v>47</v>
      </c>
      <c r="M214" s="13">
        <v>45352.0</v>
      </c>
      <c r="N214" s="12">
        <v>3499.95</v>
      </c>
    </row>
    <row r="215" ht="15.75" customHeight="1">
      <c r="A215" s="12" t="s">
        <v>403</v>
      </c>
      <c r="B215" s="13">
        <v>45707.0</v>
      </c>
      <c r="C215" s="12" t="s">
        <v>68</v>
      </c>
      <c r="D215" s="12" t="s">
        <v>70</v>
      </c>
      <c r="E215" s="12" t="s">
        <v>71</v>
      </c>
      <c r="F215" s="12" t="s">
        <v>72</v>
      </c>
      <c r="G215" s="12" t="s">
        <v>62</v>
      </c>
      <c r="H215" s="12">
        <v>3.0</v>
      </c>
      <c r="I215" s="12">
        <v>149.99</v>
      </c>
      <c r="J215" s="12" t="s">
        <v>57</v>
      </c>
      <c r="K215" s="12" t="s">
        <v>13</v>
      </c>
      <c r="L215" s="12" t="s">
        <v>59</v>
      </c>
      <c r="M215" s="13">
        <v>44633.0</v>
      </c>
      <c r="N215" s="12">
        <v>449.97</v>
      </c>
    </row>
    <row r="216" ht="15.75" customHeight="1">
      <c r="A216" s="12" t="s">
        <v>404</v>
      </c>
      <c r="B216" s="13">
        <v>45708.0</v>
      </c>
      <c r="C216" s="12" t="s">
        <v>130</v>
      </c>
      <c r="D216" s="12" t="s">
        <v>131</v>
      </c>
      <c r="E216" s="12" t="s">
        <v>16</v>
      </c>
      <c r="F216" s="12" t="s">
        <v>18</v>
      </c>
      <c r="G216" s="12" t="s">
        <v>42</v>
      </c>
      <c r="H216" s="12">
        <v>3.0</v>
      </c>
      <c r="I216" s="12">
        <v>899.99</v>
      </c>
      <c r="J216" s="12" t="s">
        <v>19</v>
      </c>
      <c r="K216" s="12" t="s">
        <v>43</v>
      </c>
      <c r="L216" s="12" t="s">
        <v>59</v>
      </c>
      <c r="M216" s="13">
        <v>44613.0</v>
      </c>
      <c r="N216" s="12">
        <v>2699.97</v>
      </c>
    </row>
    <row r="217" ht="15.75" customHeight="1">
      <c r="A217" s="12" t="s">
        <v>405</v>
      </c>
      <c r="B217" s="13">
        <v>45708.0</v>
      </c>
      <c r="C217" s="12" t="s">
        <v>197</v>
      </c>
      <c r="D217" s="12" t="s">
        <v>222</v>
      </c>
      <c r="E217" s="12" t="s">
        <v>87</v>
      </c>
      <c r="F217" s="12" t="s">
        <v>89</v>
      </c>
      <c r="G217" s="12" t="s">
        <v>62</v>
      </c>
      <c r="H217" s="12">
        <v>3.0</v>
      </c>
      <c r="I217" s="12">
        <v>199.99</v>
      </c>
      <c r="J217" s="12" t="s">
        <v>19</v>
      </c>
      <c r="K217" s="12" t="s">
        <v>79</v>
      </c>
      <c r="L217" s="12" t="s">
        <v>47</v>
      </c>
      <c r="M217" s="13">
        <v>44823.0</v>
      </c>
      <c r="N217" s="12">
        <v>599.97</v>
      </c>
    </row>
    <row r="218" ht="15.75" customHeight="1">
      <c r="A218" s="12" t="s">
        <v>406</v>
      </c>
      <c r="B218" s="13">
        <v>45710.0</v>
      </c>
      <c r="C218" s="12" t="s">
        <v>83</v>
      </c>
      <c r="D218" s="12" t="s">
        <v>84</v>
      </c>
      <c r="E218" s="12" t="s">
        <v>94</v>
      </c>
      <c r="F218" s="12" t="s">
        <v>95</v>
      </c>
      <c r="G218" s="12" t="s">
        <v>62</v>
      </c>
      <c r="H218" s="12">
        <v>5.0</v>
      </c>
      <c r="I218" s="12">
        <v>299.99</v>
      </c>
      <c r="J218" s="12" t="s">
        <v>19</v>
      </c>
      <c r="K218" s="12" t="s">
        <v>79</v>
      </c>
      <c r="L218" s="12" t="s">
        <v>59</v>
      </c>
      <c r="M218" s="13">
        <v>45142.0</v>
      </c>
      <c r="N218" s="12">
        <v>1499.95</v>
      </c>
    </row>
    <row r="219" ht="15.75" customHeight="1">
      <c r="A219" s="12" t="s">
        <v>407</v>
      </c>
      <c r="B219" s="13">
        <v>45710.0</v>
      </c>
      <c r="C219" s="12" t="s">
        <v>176</v>
      </c>
      <c r="D219" s="12" t="s">
        <v>177</v>
      </c>
      <c r="E219" s="12" t="s">
        <v>44</v>
      </c>
      <c r="F219" s="12" t="s">
        <v>45</v>
      </c>
      <c r="G219" s="12" t="s">
        <v>42</v>
      </c>
      <c r="H219" s="12">
        <v>1.0</v>
      </c>
      <c r="I219" s="12">
        <v>699.99</v>
      </c>
      <c r="J219" s="12" t="s">
        <v>57</v>
      </c>
      <c r="K219" s="12" t="s">
        <v>79</v>
      </c>
      <c r="L219" s="12" t="s">
        <v>20</v>
      </c>
      <c r="M219" s="13">
        <v>44934.0</v>
      </c>
      <c r="N219" s="12">
        <v>699.99</v>
      </c>
    </row>
    <row r="220" ht="15.75" customHeight="1">
      <c r="A220" s="12" t="s">
        <v>408</v>
      </c>
      <c r="B220" s="13">
        <v>45711.0</v>
      </c>
      <c r="C220" s="12" t="s">
        <v>223</v>
      </c>
      <c r="D220" s="12" t="s">
        <v>277</v>
      </c>
      <c r="E220" s="12" t="s">
        <v>44</v>
      </c>
      <c r="F220" s="12" t="s">
        <v>45</v>
      </c>
      <c r="G220" s="12" t="s">
        <v>42</v>
      </c>
      <c r="H220" s="12">
        <v>1.0</v>
      </c>
      <c r="I220" s="12">
        <v>699.99</v>
      </c>
      <c r="J220" s="12" t="s">
        <v>19</v>
      </c>
      <c r="K220" s="12" t="s">
        <v>60</v>
      </c>
      <c r="L220" s="12" t="s">
        <v>47</v>
      </c>
      <c r="M220" s="13">
        <v>44583.0</v>
      </c>
      <c r="N220" s="12">
        <v>699.99</v>
      </c>
    </row>
    <row r="221" ht="15.75" customHeight="1">
      <c r="A221" s="12" t="s">
        <v>409</v>
      </c>
      <c r="B221" s="13">
        <v>45711.0</v>
      </c>
      <c r="C221" s="12" t="s">
        <v>208</v>
      </c>
      <c r="D221" s="12" t="s">
        <v>369</v>
      </c>
      <c r="E221" s="12" t="s">
        <v>71</v>
      </c>
      <c r="F221" s="12" t="s">
        <v>72</v>
      </c>
      <c r="G221" s="12" t="s">
        <v>62</v>
      </c>
      <c r="H221" s="12">
        <v>4.0</v>
      </c>
      <c r="I221" s="12">
        <v>149.99</v>
      </c>
      <c r="J221" s="12" t="s">
        <v>57</v>
      </c>
      <c r="K221" s="12" t="s">
        <v>60</v>
      </c>
      <c r="L221" s="12" t="s">
        <v>47</v>
      </c>
      <c r="M221" s="13">
        <v>44412.0</v>
      </c>
      <c r="N221" s="12">
        <v>599.96</v>
      </c>
    </row>
    <row r="222" ht="15.75" customHeight="1">
      <c r="A222" s="12" t="s">
        <v>410</v>
      </c>
      <c r="B222" s="13">
        <v>45711.0</v>
      </c>
      <c r="C222" s="12" t="s">
        <v>139</v>
      </c>
      <c r="D222" s="12" t="s">
        <v>243</v>
      </c>
      <c r="E222" s="12" t="s">
        <v>111</v>
      </c>
      <c r="F222" s="12" t="s">
        <v>112</v>
      </c>
      <c r="G222" s="12" t="s">
        <v>42</v>
      </c>
      <c r="H222" s="12">
        <v>5.0</v>
      </c>
      <c r="I222" s="12">
        <v>89.99</v>
      </c>
      <c r="J222" s="12" t="s">
        <v>57</v>
      </c>
      <c r="K222" s="12" t="s">
        <v>79</v>
      </c>
      <c r="L222" s="12" t="s">
        <v>47</v>
      </c>
      <c r="M222" s="13">
        <v>45140.0</v>
      </c>
      <c r="N222" s="12">
        <v>449.95</v>
      </c>
    </row>
    <row r="223" ht="15.75" customHeight="1">
      <c r="A223" s="12" t="s">
        <v>411</v>
      </c>
      <c r="B223" s="13">
        <v>45712.0</v>
      </c>
      <c r="C223" s="12" t="s">
        <v>165</v>
      </c>
      <c r="D223" s="12" t="s">
        <v>166</v>
      </c>
      <c r="E223" s="12" t="s">
        <v>87</v>
      </c>
      <c r="F223" s="12" t="s">
        <v>89</v>
      </c>
      <c r="G223" s="12" t="s">
        <v>62</v>
      </c>
      <c r="H223" s="12">
        <v>2.0</v>
      </c>
      <c r="I223" s="12">
        <v>199.99</v>
      </c>
      <c r="J223" s="12" t="s">
        <v>19</v>
      </c>
      <c r="K223" s="12" t="s">
        <v>13</v>
      </c>
      <c r="L223" s="12" t="s">
        <v>47</v>
      </c>
      <c r="M223" s="13">
        <v>44573.0</v>
      </c>
      <c r="N223" s="12">
        <v>399.98</v>
      </c>
    </row>
    <row r="224" ht="15.75" customHeight="1">
      <c r="A224" s="12" t="s">
        <v>412</v>
      </c>
      <c r="B224" s="13">
        <v>45715.0</v>
      </c>
      <c r="C224" s="12" t="s">
        <v>133</v>
      </c>
      <c r="D224" s="12" t="s">
        <v>288</v>
      </c>
      <c r="E224" s="12" t="s">
        <v>55</v>
      </c>
      <c r="F224" s="12" t="s">
        <v>56</v>
      </c>
      <c r="G224" s="12" t="s">
        <v>14</v>
      </c>
      <c r="H224" s="12">
        <v>4.0</v>
      </c>
      <c r="I224" s="12">
        <v>59.99</v>
      </c>
      <c r="J224" s="12" t="s">
        <v>19</v>
      </c>
      <c r="K224" s="12" t="s">
        <v>79</v>
      </c>
      <c r="L224" s="12" t="s">
        <v>59</v>
      </c>
      <c r="M224" s="13">
        <v>45070.0</v>
      </c>
      <c r="N224" s="12">
        <v>239.96</v>
      </c>
    </row>
    <row r="225" ht="15.75" customHeight="1">
      <c r="A225" s="12" t="s">
        <v>413</v>
      </c>
      <c r="B225" s="13">
        <v>45715.0</v>
      </c>
      <c r="C225" s="12" t="s">
        <v>127</v>
      </c>
      <c r="D225" s="12" t="s">
        <v>128</v>
      </c>
      <c r="E225" s="12" t="s">
        <v>94</v>
      </c>
      <c r="F225" s="12" t="s">
        <v>95</v>
      </c>
      <c r="G225" s="12" t="s">
        <v>62</v>
      </c>
      <c r="H225" s="12">
        <v>2.0</v>
      </c>
      <c r="I225" s="12">
        <v>299.99</v>
      </c>
      <c r="J225" s="12" t="s">
        <v>57</v>
      </c>
      <c r="K225" s="12" t="s">
        <v>58</v>
      </c>
      <c r="L225" s="12" t="s">
        <v>20</v>
      </c>
      <c r="M225" s="13">
        <v>44576.0</v>
      </c>
      <c r="N225" s="12">
        <v>599.98</v>
      </c>
    </row>
    <row r="226" ht="15.75" customHeight="1">
      <c r="A226" s="12" t="s">
        <v>414</v>
      </c>
      <c r="B226" s="13">
        <v>45718.0</v>
      </c>
      <c r="C226" s="12" t="s">
        <v>83</v>
      </c>
      <c r="D226" s="12" t="s">
        <v>84</v>
      </c>
      <c r="E226" s="12" t="s">
        <v>71</v>
      </c>
      <c r="F226" s="12" t="s">
        <v>72</v>
      </c>
      <c r="G226" s="12" t="s">
        <v>62</v>
      </c>
      <c r="H226" s="12">
        <v>2.0</v>
      </c>
      <c r="I226" s="12">
        <v>149.99</v>
      </c>
      <c r="J226" s="12" t="s">
        <v>19</v>
      </c>
      <c r="K226" s="12" t="s">
        <v>13</v>
      </c>
      <c r="L226" s="12" t="s">
        <v>20</v>
      </c>
      <c r="M226" s="13">
        <v>45068.0</v>
      </c>
      <c r="N226" s="12">
        <v>299.98</v>
      </c>
    </row>
    <row r="227" ht="15.75" customHeight="1">
      <c r="A227" s="12" t="s">
        <v>415</v>
      </c>
      <c r="B227" s="13">
        <v>45720.0</v>
      </c>
      <c r="C227" s="12" t="s">
        <v>214</v>
      </c>
      <c r="D227" s="12" t="s">
        <v>259</v>
      </c>
      <c r="E227" s="12" t="s">
        <v>44</v>
      </c>
      <c r="F227" s="12" t="s">
        <v>45</v>
      </c>
      <c r="G227" s="12" t="s">
        <v>42</v>
      </c>
      <c r="H227" s="12">
        <v>5.0</v>
      </c>
      <c r="I227" s="12">
        <v>699.99</v>
      </c>
      <c r="J227" s="12" t="s">
        <v>67</v>
      </c>
      <c r="K227" s="12" t="s">
        <v>43</v>
      </c>
      <c r="L227" s="12" t="s">
        <v>47</v>
      </c>
      <c r="M227" s="13">
        <v>45161.0</v>
      </c>
      <c r="N227" s="12">
        <v>3499.95</v>
      </c>
    </row>
    <row r="228" ht="15.75" customHeight="1">
      <c r="A228" s="12" t="s">
        <v>416</v>
      </c>
      <c r="B228" s="13">
        <v>45721.0</v>
      </c>
      <c r="C228" s="12" t="s">
        <v>106</v>
      </c>
      <c r="D228" s="12" t="s">
        <v>107</v>
      </c>
      <c r="E228" s="12" t="s">
        <v>55</v>
      </c>
      <c r="F228" s="12" t="s">
        <v>56</v>
      </c>
      <c r="G228" s="12" t="s">
        <v>14</v>
      </c>
      <c r="H228" s="12">
        <v>5.0</v>
      </c>
      <c r="I228" s="12">
        <v>59.99</v>
      </c>
      <c r="J228" s="12" t="s">
        <v>19</v>
      </c>
      <c r="K228" s="12" t="s">
        <v>79</v>
      </c>
      <c r="L228" s="12" t="s">
        <v>47</v>
      </c>
      <c r="M228" s="13">
        <v>45291.0</v>
      </c>
      <c r="N228" s="12">
        <v>299.95</v>
      </c>
    </row>
    <row r="229" ht="15.75" customHeight="1">
      <c r="A229" s="12" t="s">
        <v>417</v>
      </c>
      <c r="B229" s="13">
        <v>45723.0</v>
      </c>
      <c r="C229" s="12" t="s">
        <v>37</v>
      </c>
      <c r="D229" s="12" t="s">
        <v>39</v>
      </c>
      <c r="E229" s="12" t="s">
        <v>111</v>
      </c>
      <c r="F229" s="12" t="s">
        <v>112</v>
      </c>
      <c r="G229" s="12" t="s">
        <v>42</v>
      </c>
      <c r="H229" s="12">
        <v>2.0</v>
      </c>
      <c r="I229" s="12">
        <v>89.99</v>
      </c>
      <c r="J229" s="12" t="s">
        <v>46</v>
      </c>
      <c r="K229" s="12" t="s">
        <v>79</v>
      </c>
      <c r="L229" s="12" t="s">
        <v>47</v>
      </c>
      <c r="M229" s="13">
        <v>45295.0</v>
      </c>
      <c r="N229" s="12">
        <v>179.98</v>
      </c>
    </row>
    <row r="230" ht="15.75" customHeight="1">
      <c r="A230" s="12" t="s">
        <v>418</v>
      </c>
      <c r="B230" s="13">
        <v>45723.0</v>
      </c>
      <c r="C230" s="12" t="s">
        <v>149</v>
      </c>
      <c r="D230" s="12" t="s">
        <v>150</v>
      </c>
      <c r="E230" s="12" t="s">
        <v>40</v>
      </c>
      <c r="F230" s="12" t="s">
        <v>41</v>
      </c>
      <c r="G230" s="12" t="s">
        <v>42</v>
      </c>
      <c r="H230" s="12">
        <v>5.0</v>
      </c>
      <c r="I230" s="12">
        <v>249.99</v>
      </c>
      <c r="J230" s="12" t="s">
        <v>19</v>
      </c>
      <c r="K230" s="12" t="s">
        <v>43</v>
      </c>
      <c r="L230" s="12" t="s">
        <v>59</v>
      </c>
      <c r="M230" s="13">
        <v>44540.0</v>
      </c>
      <c r="N230" s="12">
        <v>1249.95</v>
      </c>
    </row>
    <row r="231" ht="15.75" customHeight="1">
      <c r="A231" s="12" t="s">
        <v>419</v>
      </c>
      <c r="B231" s="13">
        <v>45724.0</v>
      </c>
      <c r="C231" s="12" t="s">
        <v>214</v>
      </c>
      <c r="D231" s="12" t="s">
        <v>259</v>
      </c>
      <c r="E231" s="12" t="s">
        <v>71</v>
      </c>
      <c r="F231" s="12" t="s">
        <v>72</v>
      </c>
      <c r="G231" s="12" t="s">
        <v>62</v>
      </c>
      <c r="H231" s="12">
        <v>2.0</v>
      </c>
      <c r="I231" s="12">
        <v>149.99</v>
      </c>
      <c r="J231" s="12" t="s">
        <v>57</v>
      </c>
      <c r="K231" s="12" t="s">
        <v>13</v>
      </c>
      <c r="L231" s="12" t="s">
        <v>47</v>
      </c>
      <c r="M231" s="13">
        <v>44632.0</v>
      </c>
      <c r="N231" s="12">
        <v>299.98</v>
      </c>
    </row>
    <row r="232" ht="15.75" customHeight="1">
      <c r="A232" s="12" t="s">
        <v>420</v>
      </c>
      <c r="B232" s="13">
        <v>45724.0</v>
      </c>
      <c r="C232" s="12" t="s">
        <v>170</v>
      </c>
      <c r="D232" s="12" t="s">
        <v>171</v>
      </c>
      <c r="E232" s="12" t="s">
        <v>16</v>
      </c>
      <c r="F232" s="12" t="s">
        <v>18</v>
      </c>
      <c r="G232" s="12" t="s">
        <v>42</v>
      </c>
      <c r="H232" s="12">
        <v>5.0</v>
      </c>
      <c r="I232" s="12">
        <v>899.99</v>
      </c>
      <c r="J232" s="12" t="s">
        <v>57</v>
      </c>
      <c r="K232" s="12" t="s">
        <v>43</v>
      </c>
      <c r="L232" s="12" t="s">
        <v>47</v>
      </c>
      <c r="M232" s="13">
        <v>45389.0</v>
      </c>
      <c r="N232" s="12">
        <v>4499.95</v>
      </c>
    </row>
    <row r="233" ht="15.75" customHeight="1">
      <c r="A233" s="12" t="s">
        <v>421</v>
      </c>
      <c r="B233" s="13">
        <v>45724.0</v>
      </c>
      <c r="C233" s="12" t="s">
        <v>83</v>
      </c>
      <c r="D233" s="12" t="s">
        <v>84</v>
      </c>
      <c r="E233" s="12" t="s">
        <v>71</v>
      </c>
      <c r="F233" s="12" t="s">
        <v>72</v>
      </c>
      <c r="G233" s="12" t="s">
        <v>62</v>
      </c>
      <c r="H233" s="12">
        <v>4.0</v>
      </c>
      <c r="I233" s="12">
        <v>149.99</v>
      </c>
      <c r="J233" s="12" t="s">
        <v>19</v>
      </c>
      <c r="K233" s="12" t="s">
        <v>13</v>
      </c>
      <c r="L233" s="12" t="s">
        <v>59</v>
      </c>
      <c r="M233" s="13">
        <v>45263.0</v>
      </c>
      <c r="N233" s="12">
        <v>599.96</v>
      </c>
    </row>
    <row r="234" ht="15.75" customHeight="1">
      <c r="A234" s="12" t="s">
        <v>422</v>
      </c>
      <c r="B234" s="13">
        <v>45726.0</v>
      </c>
      <c r="C234" s="12" t="s">
        <v>170</v>
      </c>
      <c r="D234" s="12" t="s">
        <v>171</v>
      </c>
      <c r="E234" s="12" t="s">
        <v>40</v>
      </c>
      <c r="F234" s="12" t="s">
        <v>41</v>
      </c>
      <c r="G234" s="12" t="s">
        <v>42</v>
      </c>
      <c r="H234" s="12">
        <v>1.0</v>
      </c>
      <c r="I234" s="12">
        <v>249.99</v>
      </c>
      <c r="J234" s="12" t="s">
        <v>19</v>
      </c>
      <c r="K234" s="12" t="s">
        <v>60</v>
      </c>
      <c r="L234" s="12" t="s">
        <v>59</v>
      </c>
      <c r="M234" s="13">
        <v>45117.0</v>
      </c>
      <c r="N234" s="12">
        <v>249.99</v>
      </c>
    </row>
    <row r="235" ht="15.75" customHeight="1">
      <c r="A235" s="12" t="s">
        <v>423</v>
      </c>
      <c r="B235" s="13">
        <v>45734.0</v>
      </c>
      <c r="C235" s="12" t="s">
        <v>197</v>
      </c>
      <c r="D235" s="12" t="s">
        <v>222</v>
      </c>
      <c r="E235" s="12" t="s">
        <v>55</v>
      </c>
      <c r="F235" s="12" t="s">
        <v>56</v>
      </c>
      <c r="G235" s="12" t="s">
        <v>14</v>
      </c>
      <c r="H235" s="12">
        <v>2.0</v>
      </c>
      <c r="I235" s="12">
        <v>59.99</v>
      </c>
      <c r="J235" s="12" t="s">
        <v>46</v>
      </c>
      <c r="K235" s="12" t="s">
        <v>79</v>
      </c>
      <c r="L235" s="12" t="s">
        <v>20</v>
      </c>
      <c r="M235" s="13">
        <v>45193.0</v>
      </c>
      <c r="N235" s="12">
        <v>119.98</v>
      </c>
    </row>
    <row r="236" ht="15.75" customHeight="1">
      <c r="A236" s="12" t="s">
        <v>424</v>
      </c>
      <c r="B236" s="13">
        <v>45737.0</v>
      </c>
      <c r="C236" s="12" t="s">
        <v>48</v>
      </c>
      <c r="D236" s="12" t="s">
        <v>160</v>
      </c>
      <c r="E236" s="12" t="s">
        <v>71</v>
      </c>
      <c r="F236" s="12" t="s">
        <v>72</v>
      </c>
      <c r="G236" s="12" t="s">
        <v>62</v>
      </c>
      <c r="H236" s="12">
        <v>2.0</v>
      </c>
      <c r="I236" s="12">
        <v>149.99</v>
      </c>
      <c r="J236" s="12" t="s">
        <v>19</v>
      </c>
      <c r="K236" s="12" t="s">
        <v>79</v>
      </c>
      <c r="L236" s="12" t="s">
        <v>47</v>
      </c>
      <c r="M236" s="13">
        <v>45233.0</v>
      </c>
      <c r="N236" s="12">
        <v>299.98</v>
      </c>
    </row>
    <row r="237" ht="15.75" customHeight="1">
      <c r="A237" s="12" t="s">
        <v>425</v>
      </c>
      <c r="B237" s="13">
        <v>45737.0</v>
      </c>
      <c r="C237" s="12" t="s">
        <v>176</v>
      </c>
      <c r="D237" s="12" t="s">
        <v>177</v>
      </c>
      <c r="E237" s="12" t="s">
        <v>16</v>
      </c>
      <c r="F237" s="12" t="s">
        <v>18</v>
      </c>
      <c r="G237" s="12" t="s">
        <v>42</v>
      </c>
      <c r="H237" s="12">
        <v>3.0</v>
      </c>
      <c r="I237" s="12">
        <v>899.99</v>
      </c>
      <c r="J237" s="12" t="s">
        <v>67</v>
      </c>
      <c r="K237" s="12" t="s">
        <v>60</v>
      </c>
      <c r="L237" s="12" t="s">
        <v>47</v>
      </c>
      <c r="M237" s="13">
        <v>44876.0</v>
      </c>
      <c r="N237" s="12">
        <v>2699.97</v>
      </c>
    </row>
    <row r="238" ht="15.75" customHeight="1">
      <c r="A238" s="12" t="s">
        <v>426</v>
      </c>
      <c r="B238" s="13">
        <v>45737.0</v>
      </c>
      <c r="C238" s="12" t="s">
        <v>74</v>
      </c>
      <c r="D238" s="12" t="s">
        <v>75</v>
      </c>
      <c r="E238" s="12" t="s">
        <v>16</v>
      </c>
      <c r="F238" s="12" t="s">
        <v>18</v>
      </c>
      <c r="G238" s="12" t="s">
        <v>42</v>
      </c>
      <c r="H238" s="12">
        <v>3.0</v>
      </c>
      <c r="I238" s="12">
        <v>899.99</v>
      </c>
      <c r="J238" s="12" t="s">
        <v>57</v>
      </c>
      <c r="K238" s="12" t="s">
        <v>60</v>
      </c>
      <c r="L238" s="12" t="s">
        <v>20</v>
      </c>
      <c r="M238" s="13">
        <v>44975.0</v>
      </c>
      <c r="N238" s="12">
        <v>2699.97</v>
      </c>
    </row>
    <row r="239" ht="15.75" customHeight="1">
      <c r="A239" s="12" t="s">
        <v>427</v>
      </c>
      <c r="B239" s="13">
        <v>45739.0</v>
      </c>
      <c r="C239" s="12" t="s">
        <v>37</v>
      </c>
      <c r="D239" s="12" t="s">
        <v>39</v>
      </c>
      <c r="E239" s="12" t="s">
        <v>94</v>
      </c>
      <c r="F239" s="12" t="s">
        <v>95</v>
      </c>
      <c r="G239" s="12" t="s">
        <v>62</v>
      </c>
      <c r="H239" s="12">
        <v>3.0</v>
      </c>
      <c r="I239" s="12">
        <v>299.99</v>
      </c>
      <c r="J239" s="12" t="s">
        <v>46</v>
      </c>
      <c r="K239" s="12" t="s">
        <v>79</v>
      </c>
      <c r="L239" s="12" t="s">
        <v>47</v>
      </c>
      <c r="M239" s="13">
        <v>45234.0</v>
      </c>
      <c r="N239" s="12">
        <v>899.97</v>
      </c>
    </row>
    <row r="240" ht="15.75" customHeight="1">
      <c r="A240" s="12" t="s">
        <v>428</v>
      </c>
      <c r="B240" s="13">
        <v>45740.0</v>
      </c>
      <c r="C240" s="12" t="s">
        <v>21</v>
      </c>
      <c r="D240" s="12" t="s">
        <v>429</v>
      </c>
      <c r="E240" s="12" t="s">
        <v>71</v>
      </c>
      <c r="F240" s="12" t="s">
        <v>72</v>
      </c>
      <c r="G240" s="12" t="s">
        <v>62</v>
      </c>
      <c r="H240" s="12">
        <v>4.0</v>
      </c>
      <c r="I240" s="12">
        <v>149.99</v>
      </c>
      <c r="J240" s="12" t="s">
        <v>57</v>
      </c>
      <c r="K240" s="12" t="s">
        <v>79</v>
      </c>
      <c r="L240" s="12" t="s">
        <v>59</v>
      </c>
      <c r="M240" s="13">
        <v>44560.0</v>
      </c>
      <c r="N240" s="12">
        <v>599.96</v>
      </c>
    </row>
    <row r="241" ht="15.75" customHeight="1">
      <c r="A241" s="12" t="s">
        <v>430</v>
      </c>
      <c r="B241" s="13">
        <v>45743.0</v>
      </c>
      <c r="C241" s="12" t="s">
        <v>136</v>
      </c>
      <c r="D241" s="12" t="s">
        <v>137</v>
      </c>
      <c r="E241" s="12" t="s">
        <v>76</v>
      </c>
      <c r="F241" s="12" t="s">
        <v>77</v>
      </c>
      <c r="G241" s="12" t="s">
        <v>14</v>
      </c>
      <c r="H241" s="12">
        <v>4.0</v>
      </c>
      <c r="I241" s="12">
        <v>79.99</v>
      </c>
      <c r="J241" s="12" t="s">
        <v>46</v>
      </c>
      <c r="K241" s="12" t="s">
        <v>13</v>
      </c>
      <c r="L241" s="12" t="s">
        <v>20</v>
      </c>
      <c r="M241" s="13">
        <v>45288.0</v>
      </c>
      <c r="N241" s="12">
        <v>319.96</v>
      </c>
    </row>
    <row r="242" ht="15.75" customHeight="1">
      <c r="A242" s="12" t="s">
        <v>431</v>
      </c>
      <c r="B242" s="13">
        <v>45745.0</v>
      </c>
      <c r="C242" s="12" t="s">
        <v>156</v>
      </c>
      <c r="D242" s="12" t="s">
        <v>216</v>
      </c>
      <c r="E242" s="12" t="s">
        <v>111</v>
      </c>
      <c r="F242" s="12" t="s">
        <v>112</v>
      </c>
      <c r="G242" s="12" t="s">
        <v>42</v>
      </c>
      <c r="H242" s="12">
        <v>5.0</v>
      </c>
      <c r="I242" s="12">
        <v>89.99</v>
      </c>
      <c r="J242" s="12" t="s">
        <v>57</v>
      </c>
      <c r="K242" s="12" t="s">
        <v>58</v>
      </c>
      <c r="L242" s="12" t="s">
        <v>20</v>
      </c>
      <c r="M242" s="13">
        <v>44704.0</v>
      </c>
      <c r="N242" s="12">
        <v>449.95</v>
      </c>
    </row>
    <row r="243" ht="15.75" customHeight="1">
      <c r="A243" s="12" t="s">
        <v>432</v>
      </c>
      <c r="B243" s="13">
        <v>45746.0</v>
      </c>
      <c r="C243" s="12" t="s">
        <v>127</v>
      </c>
      <c r="D243" s="12" t="s">
        <v>128</v>
      </c>
      <c r="E243" s="12" t="s">
        <v>71</v>
      </c>
      <c r="F243" s="12" t="s">
        <v>72</v>
      </c>
      <c r="G243" s="12" t="s">
        <v>62</v>
      </c>
      <c r="H243" s="12">
        <v>3.0</v>
      </c>
      <c r="I243" s="12">
        <v>149.99</v>
      </c>
      <c r="J243" s="12" t="s">
        <v>57</v>
      </c>
      <c r="K243" s="12" t="s">
        <v>13</v>
      </c>
      <c r="L243" s="12" t="s">
        <v>59</v>
      </c>
      <c r="M243" s="13">
        <v>45171.0</v>
      </c>
      <c r="N243" s="12">
        <v>449.97</v>
      </c>
    </row>
    <row r="244" ht="15.75" customHeight="1">
      <c r="A244" s="12" t="s">
        <v>433</v>
      </c>
      <c r="B244" s="13">
        <v>45746.0</v>
      </c>
      <c r="C244" s="12" t="s">
        <v>92</v>
      </c>
      <c r="D244" s="12" t="s">
        <v>93</v>
      </c>
      <c r="E244" s="12" t="s">
        <v>111</v>
      </c>
      <c r="F244" s="12" t="s">
        <v>112</v>
      </c>
      <c r="G244" s="12" t="s">
        <v>42</v>
      </c>
      <c r="H244" s="12">
        <v>2.0</v>
      </c>
      <c r="I244" s="12">
        <v>89.99</v>
      </c>
      <c r="J244" s="12" t="s">
        <v>67</v>
      </c>
      <c r="K244" s="12" t="s">
        <v>79</v>
      </c>
      <c r="L244" s="12" t="s">
        <v>47</v>
      </c>
      <c r="M244" s="13">
        <v>44522.0</v>
      </c>
      <c r="N244" s="12">
        <v>179.98</v>
      </c>
    </row>
    <row r="245" ht="15.75" customHeight="1">
      <c r="A245" s="12" t="s">
        <v>434</v>
      </c>
      <c r="B245" s="13">
        <v>45748.0</v>
      </c>
      <c r="C245" s="12" t="s">
        <v>136</v>
      </c>
      <c r="D245" s="12" t="s">
        <v>137</v>
      </c>
      <c r="E245" s="12" t="s">
        <v>44</v>
      </c>
      <c r="F245" s="12" t="s">
        <v>45</v>
      </c>
      <c r="G245" s="12" t="s">
        <v>42</v>
      </c>
      <c r="H245" s="12">
        <v>2.0</v>
      </c>
      <c r="I245" s="12">
        <v>699.99</v>
      </c>
      <c r="J245" s="12" t="s">
        <v>57</v>
      </c>
      <c r="K245" s="12" t="s">
        <v>60</v>
      </c>
      <c r="L245" s="12" t="s">
        <v>59</v>
      </c>
      <c r="M245" s="13">
        <v>44618.0</v>
      </c>
      <c r="N245" s="12">
        <v>1399.98</v>
      </c>
    </row>
    <row r="246" ht="15.75" customHeight="1">
      <c r="A246" s="12" t="s">
        <v>435</v>
      </c>
      <c r="B246" s="13">
        <v>45749.0</v>
      </c>
      <c r="C246" s="12" t="s">
        <v>153</v>
      </c>
      <c r="D246" s="12" t="s">
        <v>154</v>
      </c>
      <c r="E246" s="12" t="s">
        <v>16</v>
      </c>
      <c r="F246" s="12" t="s">
        <v>18</v>
      </c>
      <c r="G246" s="12" t="s">
        <v>42</v>
      </c>
      <c r="H246" s="12">
        <v>3.0</v>
      </c>
      <c r="I246" s="12">
        <v>899.99</v>
      </c>
      <c r="J246" s="12" t="s">
        <v>19</v>
      </c>
      <c r="K246" s="12" t="s">
        <v>13</v>
      </c>
      <c r="L246" s="12" t="s">
        <v>59</v>
      </c>
      <c r="M246" s="13">
        <v>44953.0</v>
      </c>
      <c r="N246" s="12">
        <v>2699.97</v>
      </c>
    </row>
    <row r="247" ht="15.75" customHeight="1">
      <c r="A247" s="12" t="s">
        <v>436</v>
      </c>
      <c r="B247" s="13">
        <v>45755.0</v>
      </c>
      <c r="C247" s="12" t="s">
        <v>127</v>
      </c>
      <c r="D247" s="12" t="s">
        <v>128</v>
      </c>
      <c r="E247" s="12" t="s">
        <v>76</v>
      </c>
      <c r="F247" s="12" t="s">
        <v>77</v>
      </c>
      <c r="G247" s="12" t="s">
        <v>14</v>
      </c>
      <c r="H247" s="12">
        <v>3.0</v>
      </c>
      <c r="I247" s="12">
        <v>79.99</v>
      </c>
      <c r="J247" s="12" t="s">
        <v>46</v>
      </c>
      <c r="K247" s="12" t="s">
        <v>60</v>
      </c>
      <c r="L247" s="12" t="s">
        <v>20</v>
      </c>
      <c r="M247" s="13">
        <v>44511.0</v>
      </c>
      <c r="N247" s="12">
        <v>239.97</v>
      </c>
    </row>
    <row r="248" ht="15.75" customHeight="1">
      <c r="A248" s="12" t="s">
        <v>437</v>
      </c>
      <c r="B248" s="13">
        <v>45756.0</v>
      </c>
      <c r="C248" s="12" t="s">
        <v>86</v>
      </c>
      <c r="D248" s="12" t="s">
        <v>88</v>
      </c>
      <c r="E248" s="12" t="s">
        <v>111</v>
      </c>
      <c r="F248" s="12" t="s">
        <v>112</v>
      </c>
      <c r="G248" s="12" t="s">
        <v>42</v>
      </c>
      <c r="H248" s="12">
        <v>1.0</v>
      </c>
      <c r="I248" s="12">
        <v>89.99</v>
      </c>
      <c r="J248" s="12" t="s">
        <v>67</v>
      </c>
      <c r="K248" s="12" t="s">
        <v>43</v>
      </c>
      <c r="L248" s="12" t="s">
        <v>20</v>
      </c>
      <c r="M248" s="13">
        <v>45346.0</v>
      </c>
      <c r="N248" s="12">
        <v>89.99</v>
      </c>
    </row>
    <row r="249" ht="15.75" customHeight="1">
      <c r="A249" s="12" t="s">
        <v>438</v>
      </c>
      <c r="B249" s="13">
        <v>45758.0</v>
      </c>
      <c r="C249" s="12" t="s">
        <v>233</v>
      </c>
      <c r="D249" s="12" t="s">
        <v>339</v>
      </c>
      <c r="E249" s="12" t="s">
        <v>44</v>
      </c>
      <c r="F249" s="12" t="s">
        <v>45</v>
      </c>
      <c r="G249" s="12" t="s">
        <v>42</v>
      </c>
      <c r="H249" s="12">
        <v>3.0</v>
      </c>
      <c r="I249" s="12">
        <v>699.99</v>
      </c>
      <c r="J249" s="12" t="s">
        <v>57</v>
      </c>
      <c r="K249" s="12" t="s">
        <v>60</v>
      </c>
      <c r="L249" s="12" t="s">
        <v>20</v>
      </c>
      <c r="M249" s="13">
        <v>44909.0</v>
      </c>
      <c r="N249" s="12">
        <v>2099.97</v>
      </c>
    </row>
    <row r="250" ht="15.75" customHeight="1">
      <c r="A250" s="12" t="s">
        <v>439</v>
      </c>
      <c r="B250" s="13">
        <v>45758.0</v>
      </c>
      <c r="C250" s="12" t="s">
        <v>214</v>
      </c>
      <c r="D250" s="12" t="s">
        <v>259</v>
      </c>
      <c r="E250" s="12" t="s">
        <v>111</v>
      </c>
      <c r="F250" s="12" t="s">
        <v>112</v>
      </c>
      <c r="G250" s="12" t="s">
        <v>42</v>
      </c>
      <c r="H250" s="12">
        <v>2.0</v>
      </c>
      <c r="I250" s="12">
        <v>89.99</v>
      </c>
      <c r="J250" s="12" t="s">
        <v>67</v>
      </c>
      <c r="K250" s="12" t="s">
        <v>43</v>
      </c>
      <c r="L250" s="12" t="s">
        <v>20</v>
      </c>
      <c r="M250" s="13">
        <v>45088.0</v>
      </c>
      <c r="N250" s="12">
        <v>179.98</v>
      </c>
    </row>
    <row r="251" ht="15.75" customHeight="1">
      <c r="A251" s="12" t="s">
        <v>440</v>
      </c>
      <c r="B251" s="13">
        <v>45758.0</v>
      </c>
      <c r="C251" s="12" t="s">
        <v>165</v>
      </c>
      <c r="D251" s="12" t="s">
        <v>166</v>
      </c>
      <c r="E251" s="12" t="s">
        <v>111</v>
      </c>
      <c r="F251" s="12" t="s">
        <v>112</v>
      </c>
      <c r="G251" s="12" t="s">
        <v>42</v>
      </c>
      <c r="H251" s="12">
        <v>3.0</v>
      </c>
      <c r="I251" s="12">
        <v>89.99</v>
      </c>
      <c r="J251" s="12" t="s">
        <v>67</v>
      </c>
      <c r="K251" s="12" t="s">
        <v>60</v>
      </c>
      <c r="L251" s="12" t="s">
        <v>47</v>
      </c>
      <c r="M251" s="13">
        <v>44878.0</v>
      </c>
      <c r="N251" s="12">
        <v>269.97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0" width="18.0"/>
    <col customWidth="1" min="11" max="26" width="8.71"/>
  </cols>
  <sheetData>
    <row r="1">
      <c r="A1" s="1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5" t="s">
        <v>9</v>
      </c>
      <c r="J3" s="5" t="s">
        <v>10</v>
      </c>
    </row>
    <row r="4">
      <c r="A4" s="8" t="s">
        <v>13</v>
      </c>
      <c r="B4" s="9" t="s">
        <v>14</v>
      </c>
      <c r="C4" s="9" t="s">
        <v>16</v>
      </c>
      <c r="D4" s="9" t="s">
        <v>18</v>
      </c>
      <c r="E4" s="9" t="s">
        <v>19</v>
      </c>
      <c r="F4" s="9" t="s">
        <v>20</v>
      </c>
      <c r="G4" s="9" t="s">
        <v>21</v>
      </c>
      <c r="H4" s="9" t="str">
        <f t="array" ref="H4">INDEX(tx_CustName,MATCH(G4,tx_CustID,0))</f>
        <v>John Smith</v>
      </c>
      <c r="I4" s="9" t="s">
        <v>38</v>
      </c>
      <c r="J4" s="9" t="s">
        <v>38</v>
      </c>
    </row>
    <row r="5">
      <c r="A5" s="8" t="s">
        <v>43</v>
      </c>
      <c r="B5" s="9" t="s">
        <v>42</v>
      </c>
      <c r="C5" s="9" t="s">
        <v>44</v>
      </c>
      <c r="D5" s="9" t="s">
        <v>45</v>
      </c>
      <c r="E5" s="9" t="s">
        <v>46</v>
      </c>
      <c r="F5" s="9" t="s">
        <v>47</v>
      </c>
      <c r="G5" s="9" t="s">
        <v>48</v>
      </c>
      <c r="H5" s="9" t="str">
        <f t="array" ref="H5">INDEX(tx_CustName,MATCH(G5,tx_CustID,0))</f>
        <v>Emma Wilson</v>
      </c>
      <c r="I5" s="9" t="s">
        <v>13</v>
      </c>
      <c r="J5" s="9" t="s">
        <v>14</v>
      </c>
    </row>
    <row r="6">
      <c r="A6" s="8" t="s">
        <v>60</v>
      </c>
      <c r="B6" s="9" t="s">
        <v>62</v>
      </c>
      <c r="C6" s="9" t="s">
        <v>63</v>
      </c>
      <c r="D6" s="9" t="s">
        <v>65</v>
      </c>
      <c r="E6" s="9" t="s">
        <v>67</v>
      </c>
      <c r="F6" s="9" t="s">
        <v>59</v>
      </c>
      <c r="G6" s="9" t="s">
        <v>68</v>
      </c>
      <c r="H6" s="9" t="str">
        <f t="array" ref="H6">INDEX(tx_CustName,MATCH(G6,tx_CustID,0))</f>
        <v>Michael Brown</v>
      </c>
      <c r="I6" s="9" t="s">
        <v>43</v>
      </c>
      <c r="J6" s="9" t="s">
        <v>42</v>
      </c>
    </row>
    <row r="7">
      <c r="A7" s="8" t="s">
        <v>58</v>
      </c>
      <c r="B7" s="15"/>
      <c r="C7" s="9" t="s">
        <v>76</v>
      </c>
      <c r="D7" s="9" t="s">
        <v>77</v>
      </c>
      <c r="E7" s="9" t="s">
        <v>57</v>
      </c>
      <c r="F7" s="15"/>
      <c r="G7" s="9" t="s">
        <v>78</v>
      </c>
      <c r="H7" s="9" t="str">
        <f t="array" ref="H7">INDEX(tx_CustName,MATCH(G7,tx_CustID,0))</f>
        <v>Sarah Davis</v>
      </c>
      <c r="I7" s="9" t="s">
        <v>60</v>
      </c>
      <c r="J7" s="9" t="s">
        <v>62</v>
      </c>
    </row>
    <row r="8">
      <c r="A8" s="8" t="s">
        <v>79</v>
      </c>
      <c r="B8" s="15"/>
      <c r="C8" s="9" t="s">
        <v>55</v>
      </c>
      <c r="D8" s="9" t="s">
        <v>56</v>
      </c>
      <c r="E8" s="15"/>
      <c r="F8" s="15"/>
      <c r="G8" s="9" t="s">
        <v>81</v>
      </c>
      <c r="H8" s="9" t="str">
        <f t="array" ref="H8">INDEX(tx_CustName,MATCH(G8,tx_CustID,0))</f>
        <v>James Johnson</v>
      </c>
      <c r="I8" s="9" t="s">
        <v>58</v>
      </c>
      <c r="J8" s="15"/>
    </row>
    <row r="9">
      <c r="B9" s="15"/>
      <c r="C9" s="9" t="s">
        <v>87</v>
      </c>
      <c r="D9" s="9" t="s">
        <v>89</v>
      </c>
      <c r="E9" s="15"/>
      <c r="F9" s="15"/>
      <c r="G9" s="9" t="s">
        <v>90</v>
      </c>
      <c r="H9" s="9" t="str">
        <f t="array" ref="H9">INDEX(tx_CustName,MATCH(G9,tx_CustID,0))</f>
        <v>Lisa Anderson</v>
      </c>
      <c r="I9" s="9" t="s">
        <v>79</v>
      </c>
      <c r="J9" s="15"/>
    </row>
    <row r="10">
      <c r="B10" s="15"/>
      <c r="C10" s="9" t="s">
        <v>94</v>
      </c>
      <c r="D10" s="9" t="s">
        <v>95</v>
      </c>
      <c r="E10" s="15"/>
      <c r="F10" s="15"/>
      <c r="G10" s="9" t="s">
        <v>96</v>
      </c>
      <c r="H10" s="9" t="str">
        <f t="array" ref="H10">INDEX(tx_CustName,MATCH(G10,tx_CustID,0))</f>
        <v>David Martinez</v>
      </c>
      <c r="I10" s="15"/>
      <c r="J10" s="15"/>
    </row>
    <row r="11">
      <c r="B11" s="15"/>
      <c r="C11" s="9" t="s">
        <v>71</v>
      </c>
      <c r="D11" s="9" t="s">
        <v>72</v>
      </c>
      <c r="E11" s="15"/>
      <c r="F11" s="15"/>
      <c r="G11" s="9" t="s">
        <v>101</v>
      </c>
      <c r="H11" s="9" t="str">
        <f t="array" ref="H11">INDEX(tx_CustName,MATCH(G11,tx_CustID,0))</f>
        <v>Jennifer Taylor</v>
      </c>
      <c r="I11" s="15"/>
      <c r="J11" s="15"/>
    </row>
    <row r="12">
      <c r="B12" s="15"/>
      <c r="C12" s="9" t="s">
        <v>40</v>
      </c>
      <c r="D12" s="9" t="s">
        <v>41</v>
      </c>
      <c r="E12" s="15"/>
      <c r="F12" s="15"/>
      <c r="G12" s="9" t="s">
        <v>86</v>
      </c>
      <c r="H12" s="9" t="str">
        <f t="array" ref="H12">INDEX(tx_CustName,MATCH(G12,tx_CustID,0))</f>
        <v>Robert Thomas</v>
      </c>
      <c r="I12" s="15"/>
      <c r="J12" s="15"/>
    </row>
    <row r="13">
      <c r="B13" s="15"/>
      <c r="C13" s="9" t="s">
        <v>111</v>
      </c>
      <c r="D13" s="9" t="s">
        <v>112</v>
      </c>
      <c r="E13" s="15"/>
      <c r="F13" s="15"/>
      <c r="G13" s="9" t="s">
        <v>113</v>
      </c>
      <c r="H13" s="9" t="str">
        <f t="array" ref="H13">INDEX(tx_CustName,MATCH(G13,tx_CustID,0))</f>
        <v>Maria Garcia</v>
      </c>
      <c r="I13" s="15"/>
      <c r="J13" s="15"/>
    </row>
    <row r="14">
      <c r="B14" s="15"/>
      <c r="C14" s="15"/>
      <c r="D14" s="15"/>
      <c r="E14" s="15"/>
      <c r="F14" s="15"/>
      <c r="G14" s="9" t="s">
        <v>120</v>
      </c>
      <c r="H14" s="9" t="str">
        <f t="array" ref="H14">INDEX(tx_CustName,MATCH(G14,tx_CustID,0))</f>
        <v>William White</v>
      </c>
      <c r="I14" s="15"/>
      <c r="J14" s="15"/>
    </row>
    <row r="15">
      <c r="B15" s="15"/>
      <c r="C15" s="15"/>
      <c r="D15" s="15"/>
      <c r="E15" s="15"/>
      <c r="F15" s="15"/>
      <c r="G15" s="9" t="s">
        <v>121</v>
      </c>
      <c r="H15" s="9" t="str">
        <f t="array" ref="H15">INDEX(tx_CustName,MATCH(G15,tx_CustID,0))</f>
        <v>Patricia Moore</v>
      </c>
      <c r="I15" s="15"/>
      <c r="J15" s="15"/>
    </row>
    <row r="16">
      <c r="B16" s="15"/>
      <c r="C16" s="15"/>
      <c r="D16" s="15"/>
      <c r="E16" s="15"/>
      <c r="F16" s="15"/>
      <c r="G16" s="9" t="s">
        <v>50</v>
      </c>
      <c r="H16" s="9" t="str">
        <f t="array" ref="H16">INDEX(tx_CustName,MATCH(G16,tx_CustID,0))</f>
        <v>Joseph Jackson</v>
      </c>
      <c r="I16" s="15"/>
      <c r="J16" s="15"/>
    </row>
    <row r="17">
      <c r="B17" s="15"/>
      <c r="C17" s="15"/>
      <c r="D17" s="15"/>
      <c r="E17" s="15"/>
      <c r="F17" s="15"/>
      <c r="G17" s="9" t="s">
        <v>125</v>
      </c>
      <c r="H17" s="9" t="str">
        <f t="array" ref="H17">INDEX(tx_CustName,MATCH(G17,tx_CustID,0))</f>
        <v>Linda Martin</v>
      </c>
      <c r="I17" s="15"/>
      <c r="J17" s="15"/>
    </row>
    <row r="18">
      <c r="B18" s="15"/>
      <c r="C18" s="15"/>
      <c r="D18" s="15"/>
      <c r="E18" s="15"/>
      <c r="F18" s="15"/>
      <c r="G18" s="9" t="s">
        <v>133</v>
      </c>
      <c r="H18" s="9" t="str">
        <f t="array" ref="H18">INDEX(tx_CustName,MATCH(G18,tx_CustID,0))</f>
        <v>Richard Lee</v>
      </c>
      <c r="I18" s="15"/>
      <c r="J18" s="15"/>
    </row>
    <row r="19">
      <c r="B19" s="15"/>
      <c r="C19" s="15"/>
      <c r="D19" s="15"/>
      <c r="E19" s="15"/>
      <c r="F19" s="15"/>
      <c r="G19" s="9" t="s">
        <v>139</v>
      </c>
      <c r="H19" s="9" t="str">
        <f t="array" ref="H19">INDEX(tx_CustName,MATCH(G19,tx_CustID,0))</f>
        <v>Elizabeth Hall</v>
      </c>
      <c r="I19" s="15"/>
      <c r="J19" s="15"/>
    </row>
    <row r="20" ht="15.75" customHeight="1">
      <c r="B20" s="15"/>
      <c r="C20" s="15"/>
      <c r="D20" s="15"/>
      <c r="E20" s="15"/>
      <c r="F20" s="15"/>
      <c r="G20" s="9" t="s">
        <v>83</v>
      </c>
      <c r="H20" s="9" t="str">
        <f t="array" ref="H20">INDEX(tx_CustName,MATCH(G20,tx_CustID,0))</f>
        <v>Charles Allen</v>
      </c>
      <c r="I20" s="15"/>
      <c r="J20" s="15"/>
    </row>
    <row r="21" ht="15.75" customHeight="1">
      <c r="B21" s="15"/>
      <c r="C21" s="15"/>
      <c r="D21" s="15"/>
      <c r="E21" s="15"/>
      <c r="F21" s="15"/>
      <c r="G21" s="9" t="s">
        <v>130</v>
      </c>
      <c r="H21" s="9" t="str">
        <f t="array" ref="H21">INDEX(tx_CustName,MATCH(G21,tx_CustID,0))</f>
        <v>Barbara Young</v>
      </c>
      <c r="I21" s="15"/>
      <c r="J21" s="15"/>
    </row>
    <row r="22" ht="15.75" customHeight="1">
      <c r="B22" s="15"/>
      <c r="C22" s="15"/>
      <c r="D22" s="15"/>
      <c r="E22" s="15"/>
      <c r="F22" s="15"/>
      <c r="G22" s="9" t="s">
        <v>151</v>
      </c>
      <c r="H22" s="9" t="str">
        <f t="array" ref="H22">INDEX(tx_CustName,MATCH(G22,tx_CustID,0))</f>
        <v>Daniel King</v>
      </c>
      <c r="I22" s="15"/>
      <c r="J22" s="15"/>
    </row>
    <row r="23" ht="15.75" customHeight="1">
      <c r="B23" s="15"/>
      <c r="C23" s="15"/>
      <c r="D23" s="15"/>
      <c r="E23" s="15"/>
      <c r="F23" s="15"/>
      <c r="G23" s="9" t="s">
        <v>156</v>
      </c>
      <c r="H23" s="9" t="str">
        <f t="array" ref="H23">INDEX(tx_CustName,MATCH(G23,tx_CustID,0))</f>
        <v>Margaret Wright</v>
      </c>
      <c r="I23" s="15"/>
      <c r="J23" s="15"/>
    </row>
    <row r="24" ht="15.75" customHeight="1">
      <c r="B24" s="15"/>
      <c r="C24" s="15"/>
      <c r="D24" s="15"/>
      <c r="E24" s="15"/>
      <c r="F24" s="15"/>
      <c r="G24" s="9" t="s">
        <v>53</v>
      </c>
      <c r="H24" s="9" t="str">
        <f t="array" ref="H24">INDEX(tx_CustName,MATCH(G24,tx_CustID,0))</f>
        <v>Kevin Scott</v>
      </c>
      <c r="I24" s="15"/>
      <c r="J24" s="15"/>
    </row>
    <row r="25" ht="15.75" customHeight="1">
      <c r="B25" s="15"/>
      <c r="C25" s="15"/>
      <c r="D25" s="15"/>
      <c r="E25" s="15"/>
      <c r="F25" s="15"/>
      <c r="G25" s="9" t="s">
        <v>98</v>
      </c>
      <c r="H25" s="9" t="str">
        <f t="array" ref="H25">INDEX(tx_CustName,MATCH(G25,tx_CustID,0))</f>
        <v>Susan Green</v>
      </c>
      <c r="I25" s="15"/>
      <c r="J25" s="15"/>
    </row>
    <row r="26" ht="15.75" customHeight="1">
      <c r="B26" s="15"/>
      <c r="C26" s="15"/>
      <c r="D26" s="15"/>
      <c r="E26" s="15"/>
      <c r="F26" s="15"/>
      <c r="G26" s="9" t="s">
        <v>37</v>
      </c>
      <c r="H26" s="9" t="str">
        <f t="array" ref="H26">INDEX(tx_CustName,MATCH(G26,tx_CustID,0))</f>
        <v>Paul Baker</v>
      </c>
      <c r="I26" s="15"/>
      <c r="J26" s="15"/>
    </row>
    <row r="27" ht="15.75" customHeight="1">
      <c r="B27" s="15"/>
      <c r="C27" s="15"/>
      <c r="D27" s="15"/>
      <c r="E27" s="15"/>
      <c r="F27" s="15"/>
      <c r="G27" s="9" t="s">
        <v>74</v>
      </c>
      <c r="H27" s="9" t="str">
        <f t="array" ref="H27">INDEX(tx_CustName,MATCH(G27,tx_CustID,0))</f>
        <v>Dorothy Nelson</v>
      </c>
      <c r="I27" s="15"/>
      <c r="J27" s="15"/>
    </row>
    <row r="28" ht="15.75" customHeight="1">
      <c r="B28" s="15"/>
      <c r="C28" s="15"/>
      <c r="D28" s="15"/>
      <c r="E28" s="15"/>
      <c r="F28" s="15"/>
      <c r="G28" s="9" t="s">
        <v>118</v>
      </c>
      <c r="H28" s="9" t="str">
        <f t="array" ref="H28">INDEX(tx_CustName,MATCH(G28,tx_CustID,0))</f>
        <v>Mark Carter</v>
      </c>
      <c r="I28" s="15"/>
      <c r="J28" s="15"/>
    </row>
    <row r="29" ht="15.75" customHeight="1">
      <c r="B29" s="15"/>
      <c r="C29" s="15"/>
      <c r="D29" s="15"/>
      <c r="E29" s="15"/>
      <c r="F29" s="15"/>
      <c r="G29" s="9" t="s">
        <v>92</v>
      </c>
      <c r="H29" s="9" t="str">
        <f t="array" ref="H29">INDEX(tx_CustName,MATCH(G29,tx_CustID,0))</f>
        <v>Karen Hill</v>
      </c>
      <c r="I29" s="15"/>
      <c r="J29" s="15"/>
    </row>
    <row r="30" ht="15.75" customHeight="1">
      <c r="B30" s="15"/>
      <c r="C30" s="15"/>
      <c r="D30" s="15"/>
      <c r="E30" s="15"/>
      <c r="F30" s="15"/>
      <c r="G30" s="9" t="s">
        <v>115</v>
      </c>
      <c r="H30" s="9" t="str">
        <f t="array" ref="H30">INDEX(tx_CustName,MATCH(G30,tx_CustID,0))</f>
        <v>George Adams</v>
      </c>
      <c r="I30" s="15"/>
      <c r="J30" s="15"/>
    </row>
    <row r="31" ht="15.75" customHeight="1">
      <c r="B31" s="15"/>
      <c r="C31" s="15"/>
      <c r="D31" s="15"/>
      <c r="E31" s="15"/>
      <c r="F31" s="15"/>
      <c r="G31" s="9" t="s">
        <v>182</v>
      </c>
      <c r="H31" s="9" t="str">
        <f t="array" ref="H31">INDEX(tx_CustName,MATCH(G31,tx_CustID,0))</f>
        <v>Betty Campbell</v>
      </c>
      <c r="I31" s="15"/>
      <c r="J31" s="15"/>
    </row>
    <row r="32" ht="15.75" customHeight="1">
      <c r="B32" s="15"/>
      <c r="C32" s="15"/>
      <c r="D32" s="15"/>
      <c r="E32" s="15"/>
      <c r="F32" s="15"/>
      <c r="G32" s="9" t="s">
        <v>153</v>
      </c>
      <c r="H32" s="9" t="str">
        <f t="array" ref="H32">INDEX(tx_CustName,MATCH(G32,tx_CustID,0))</f>
        <v>Edward Mitchell</v>
      </c>
      <c r="I32" s="15"/>
      <c r="J32" s="15"/>
    </row>
    <row r="33" ht="15.75" customHeight="1">
      <c r="B33" s="15"/>
      <c r="C33" s="15"/>
      <c r="D33" s="15"/>
      <c r="E33" s="15"/>
      <c r="F33" s="15"/>
      <c r="G33" s="9" t="s">
        <v>149</v>
      </c>
      <c r="H33" s="9" t="str">
        <f t="array" ref="H33">INDEX(tx_CustName,MATCH(G33,tx_CustID,0))</f>
        <v>Helen Roberts</v>
      </c>
      <c r="I33" s="15"/>
      <c r="J33" s="15"/>
    </row>
    <row r="34" ht="15.75" customHeight="1">
      <c r="B34" s="15"/>
      <c r="C34" s="15"/>
      <c r="D34" s="15"/>
      <c r="E34" s="15"/>
      <c r="F34" s="15"/>
      <c r="G34" s="9" t="s">
        <v>165</v>
      </c>
      <c r="H34" s="9" t="str">
        <f t="array" ref="H34">INDEX(tx_CustName,MATCH(G34,tx_CustID,0))</f>
        <v>Steven Turner</v>
      </c>
      <c r="I34" s="15"/>
      <c r="J34" s="15"/>
    </row>
    <row r="35" ht="15.75" customHeight="1">
      <c r="B35" s="15"/>
      <c r="C35" s="15"/>
      <c r="D35" s="15"/>
      <c r="E35" s="15"/>
      <c r="F35" s="15"/>
      <c r="G35" s="9" t="s">
        <v>193</v>
      </c>
      <c r="H35" s="9" t="str">
        <f t="array" ref="H35">INDEX(tx_CustName,MATCH(G35,tx_CustID,0))</f>
        <v>Sandra Phillips</v>
      </c>
      <c r="I35" s="15"/>
      <c r="J35" s="15"/>
    </row>
    <row r="36" ht="15.75" customHeight="1">
      <c r="B36" s="15"/>
      <c r="C36" s="15"/>
      <c r="D36" s="15"/>
      <c r="E36" s="15"/>
      <c r="F36" s="15"/>
      <c r="G36" s="9" t="s">
        <v>197</v>
      </c>
      <c r="H36" s="9" t="str">
        <f t="array" ref="H36">INDEX(tx_CustName,MATCH(G36,tx_CustID,0))</f>
        <v>Frank Torres</v>
      </c>
      <c r="I36" s="15"/>
      <c r="J36" s="15"/>
    </row>
    <row r="37" ht="15.75" customHeight="1">
      <c r="B37" s="15"/>
      <c r="C37" s="15"/>
      <c r="D37" s="15"/>
      <c r="E37" s="15"/>
      <c r="F37" s="15"/>
      <c r="G37" s="9" t="s">
        <v>202</v>
      </c>
      <c r="H37" s="9" t="str">
        <f t="array" ref="H37">INDEX(tx_CustName,MATCH(G37,tx_CustID,0))</f>
        <v>Carol Evans</v>
      </c>
      <c r="I37" s="15"/>
      <c r="J37" s="15"/>
    </row>
    <row r="38" ht="15.75" customHeight="1">
      <c r="B38" s="15"/>
      <c r="C38" s="15"/>
      <c r="D38" s="15"/>
      <c r="E38" s="15"/>
      <c r="F38" s="15"/>
      <c r="G38" s="9" t="s">
        <v>170</v>
      </c>
      <c r="H38" s="9" t="str">
        <f t="array" ref="H38">INDEX(tx_CustName,MATCH(G38,tx_CustID,0))</f>
        <v>Harry Morgan</v>
      </c>
      <c r="I38" s="15"/>
      <c r="J38" s="15"/>
    </row>
    <row r="39" ht="15.75" customHeight="1">
      <c r="B39" s="15"/>
      <c r="C39" s="15"/>
      <c r="D39" s="15"/>
      <c r="E39" s="15"/>
      <c r="F39" s="15"/>
      <c r="G39" s="9" t="s">
        <v>142</v>
      </c>
      <c r="H39" s="9" t="str">
        <f t="array" ref="H39">INDEX(tx_CustName,MATCH(G39,tx_CustID,0))</f>
        <v>Nancy Collins</v>
      </c>
      <c r="I39" s="15"/>
      <c r="J39" s="15"/>
    </row>
    <row r="40" ht="15.75" customHeight="1">
      <c r="B40" s="15"/>
      <c r="C40" s="15"/>
      <c r="D40" s="15"/>
      <c r="E40" s="15"/>
      <c r="F40" s="15"/>
      <c r="G40" s="9" t="s">
        <v>208</v>
      </c>
      <c r="H40" s="9" t="str">
        <f t="array" ref="H40">INDEX(tx_CustName,MATCH(G40,tx_CustID,0))</f>
        <v>Arthur Edwards</v>
      </c>
      <c r="I40" s="15"/>
      <c r="J40" s="15"/>
    </row>
    <row r="41" ht="15.75" customHeight="1">
      <c r="B41" s="15"/>
      <c r="C41" s="15"/>
      <c r="D41" s="15"/>
      <c r="E41" s="15"/>
      <c r="F41" s="15"/>
      <c r="G41" s="9" t="s">
        <v>109</v>
      </c>
      <c r="H41" s="9" t="str">
        <f t="array" ref="H41">INDEX(tx_CustName,MATCH(G41,tx_CustID,0))</f>
        <v>Michelle Rogers</v>
      </c>
      <c r="I41" s="15"/>
      <c r="J41" s="15"/>
    </row>
    <row r="42" ht="15.75" customHeight="1">
      <c r="B42" s="15"/>
      <c r="C42" s="15"/>
      <c r="D42" s="15"/>
      <c r="E42" s="15"/>
      <c r="F42" s="15"/>
      <c r="G42" s="9" t="s">
        <v>214</v>
      </c>
      <c r="H42" s="9" t="str">
        <f t="array" ref="H42">INDEX(tx_CustName,MATCH(G42,tx_CustID,0))</f>
        <v>Lawrence Reed</v>
      </c>
      <c r="I42" s="15"/>
      <c r="J42" s="15"/>
    </row>
    <row r="43" ht="15.75" customHeight="1">
      <c r="B43" s="15"/>
      <c r="C43" s="15"/>
      <c r="D43" s="15"/>
      <c r="E43" s="15"/>
      <c r="F43" s="15"/>
      <c r="G43" s="9" t="s">
        <v>176</v>
      </c>
      <c r="H43" s="9" t="str">
        <f t="array" ref="H43">INDEX(tx_CustName,MATCH(G43,tx_CustID,0))</f>
        <v>Sharon Butler</v>
      </c>
      <c r="I43" s="15"/>
      <c r="J43" s="15"/>
    </row>
    <row r="44" ht="15.75" customHeight="1">
      <c r="B44" s="15"/>
      <c r="C44" s="15"/>
      <c r="D44" s="15"/>
      <c r="E44" s="15"/>
      <c r="F44" s="15"/>
      <c r="G44" s="9" t="s">
        <v>103</v>
      </c>
      <c r="H44" s="9" t="str">
        <f t="array" ref="H44">INDEX(tx_CustName,MATCH(G44,tx_CustID,0))</f>
        <v>Peter Richardson</v>
      </c>
      <c r="I44" s="15"/>
      <c r="J44" s="15"/>
    </row>
    <row r="45" ht="15.75" customHeight="1">
      <c r="B45" s="15"/>
      <c r="C45" s="15"/>
      <c r="D45" s="15"/>
      <c r="E45" s="15"/>
      <c r="F45" s="15"/>
      <c r="G45" s="9" t="s">
        <v>223</v>
      </c>
      <c r="H45" s="9" t="str">
        <f t="array" ref="H45">INDEX(tx_CustName,MATCH(G45,tx_CustID,0))</f>
        <v>Ruth Brooks</v>
      </c>
      <c r="I45" s="15"/>
      <c r="J45" s="15"/>
    </row>
    <row r="46" ht="15.75" customHeight="1">
      <c r="B46" s="15"/>
      <c r="C46" s="15"/>
      <c r="D46" s="15"/>
      <c r="E46" s="15"/>
      <c r="F46" s="15"/>
      <c r="G46" s="9" t="s">
        <v>106</v>
      </c>
      <c r="H46" s="9" t="str">
        <f t="array" ref="H46">INDEX(tx_CustName,MATCH(G46,tx_CustID,0))</f>
        <v>Dennis Gray</v>
      </c>
      <c r="I46" s="15"/>
      <c r="J46" s="15"/>
    </row>
    <row r="47" ht="15.75" customHeight="1">
      <c r="B47" s="15"/>
      <c r="C47" s="15"/>
      <c r="D47" s="15"/>
      <c r="E47" s="15"/>
      <c r="F47" s="15"/>
      <c r="G47" s="9" t="s">
        <v>136</v>
      </c>
      <c r="H47" s="9" t="str">
        <f t="array" ref="H47">INDEX(tx_CustName,MATCH(G47,tx_CustID,0))</f>
        <v>Cynthia Price</v>
      </c>
      <c r="I47" s="15"/>
      <c r="J47" s="15"/>
    </row>
    <row r="48" ht="15.75" customHeight="1">
      <c r="B48" s="15"/>
      <c r="C48" s="15"/>
      <c r="D48" s="15"/>
      <c r="E48" s="15"/>
      <c r="F48" s="15"/>
      <c r="G48" s="9" t="s">
        <v>233</v>
      </c>
      <c r="H48" s="9" t="str">
        <f t="array" ref="H48">INDEX(tx_CustName,MATCH(G48,tx_CustID,0))</f>
        <v>Douglas Watson</v>
      </c>
      <c r="I48" s="15"/>
      <c r="J48" s="15"/>
    </row>
    <row r="49" ht="15.75" customHeight="1">
      <c r="B49" s="15"/>
      <c r="C49" s="15"/>
      <c r="D49" s="15"/>
      <c r="E49" s="15"/>
      <c r="F49" s="15"/>
      <c r="G49" s="9" t="s">
        <v>64</v>
      </c>
      <c r="H49" s="9" t="str">
        <f t="array" ref="H49">INDEX(tx_CustName,MATCH(G49,tx_CustID,0))</f>
        <v>Kathleen Bennett</v>
      </c>
      <c r="I49" s="15"/>
      <c r="J49" s="15"/>
    </row>
    <row r="50" ht="15.75" customHeight="1">
      <c r="B50" s="15"/>
      <c r="C50" s="15"/>
      <c r="D50" s="15"/>
      <c r="E50" s="15"/>
      <c r="F50" s="15"/>
      <c r="G50" s="9" t="s">
        <v>226</v>
      </c>
      <c r="H50" s="9" t="str">
        <f t="array" ref="H50">INDEX(tx_CustName,MATCH(G50,tx_CustID,0))</f>
        <v>Gerald Murphy</v>
      </c>
      <c r="I50" s="15"/>
      <c r="J50" s="15"/>
    </row>
    <row r="51" ht="15.75" customHeight="1">
      <c r="B51" s="15"/>
      <c r="C51" s="15"/>
      <c r="D51" s="15"/>
      <c r="E51" s="15"/>
      <c r="F51" s="15"/>
      <c r="G51" s="9" t="s">
        <v>127</v>
      </c>
      <c r="H51" s="9" t="str">
        <f t="array" ref="H51">INDEX(tx_CustName,MATCH(G51,tx_CustID,0))</f>
        <v>Virginia Sanders</v>
      </c>
      <c r="I51" s="15"/>
      <c r="J51" s="15"/>
    </row>
    <row r="52" ht="15.75" customHeight="1">
      <c r="B52" s="15"/>
      <c r="C52" s="15"/>
      <c r="D52" s="15"/>
      <c r="E52" s="15"/>
      <c r="F52" s="15"/>
      <c r="G52" s="9" t="s">
        <v>199</v>
      </c>
      <c r="H52" s="9" t="str">
        <f t="array" ref="H52">INDEX(tx_CustName,MATCH(G52,tx_CustID,0))</f>
        <v>Raymond Ross</v>
      </c>
      <c r="I52" s="15"/>
      <c r="J52" s="15"/>
    </row>
    <row r="53" ht="15.75" customHeight="1">
      <c r="B53" s="15"/>
      <c r="C53" s="15"/>
      <c r="D53" s="15"/>
      <c r="E53" s="15"/>
      <c r="F53" s="15"/>
      <c r="G53" s="9" t="s">
        <v>187</v>
      </c>
      <c r="H53" s="9" t="str">
        <f t="array" ref="H53">INDEX(tx_CustName,MATCH(G53,tx_CustID,0))</f>
        <v>Julie Foster</v>
      </c>
      <c r="I53" s="15"/>
      <c r="J53" s="15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24.0"/>
    <col customWidth="1" min="3" max="3" width="34.0"/>
    <col customWidth="1" min="4" max="4" width="3.0"/>
    <col customWidth="1" min="5" max="5" width="13.0"/>
    <col customWidth="1" min="6" max="6" width="20.0"/>
    <col customWidth="1" min="7" max="8" width="13.0"/>
    <col customWidth="1" min="9" max="9" width="15.0"/>
    <col customWidth="1" min="10" max="11" width="11.0"/>
    <col customWidth="1" min="12" max="12" width="13.0"/>
    <col customWidth="1" min="13" max="13" width="12.0"/>
    <col customWidth="1" min="14" max="26" width="8.71"/>
  </cols>
  <sheetData>
    <row r="1">
      <c r="A1" s="6" t="s">
        <v>11</v>
      </c>
      <c r="E1" s="6"/>
    </row>
    <row r="2">
      <c r="A2" s="3" t="s">
        <v>15</v>
      </c>
      <c r="B2" s="3" t="s">
        <v>17</v>
      </c>
      <c r="E2" s="3" t="s">
        <v>7</v>
      </c>
      <c r="F2" s="3" t="s">
        <v>8</v>
      </c>
      <c r="G2" s="3" t="s">
        <v>23</v>
      </c>
      <c r="H2" s="3" t="s">
        <v>25</v>
      </c>
      <c r="I2" s="3" t="s">
        <v>26</v>
      </c>
      <c r="J2" s="3" t="s">
        <v>29</v>
      </c>
      <c r="K2" s="3" t="s">
        <v>30</v>
      </c>
      <c r="L2" s="3" t="s">
        <v>31</v>
      </c>
      <c r="M2" s="3" t="s">
        <v>34</v>
      </c>
    </row>
    <row r="3" ht="42.0" customHeight="1">
      <c r="A3" s="11" t="s">
        <v>35</v>
      </c>
      <c r="B3" s="14">
        <f>TODAY()</f>
        <v>46295</v>
      </c>
      <c r="E3" s="11" t="str">
        <f>Lists!G4</f>
        <v>CUST001</v>
      </c>
      <c r="F3" s="11" t="str">
        <f>Lists!H4</f>
        <v>John Smith</v>
      </c>
      <c r="G3" s="16">
        <f>MINIFS(tx_Date,tx_CustID,$E3)</f>
        <v>45740</v>
      </c>
      <c r="H3" s="16">
        <f>MAXIFS(tx_Date,tx_CustID,$E3)</f>
        <v>45740</v>
      </c>
      <c r="I3" s="16">
        <f>MINIFS(tx_Since,tx_CustID,$E3)</f>
        <v>44560</v>
      </c>
      <c r="J3" s="17">
        <f t="shared" ref="J3:J52" si="1">DATEDIF(I3,TODAY(),"Y")</f>
        <v>4</v>
      </c>
      <c r="K3" s="17">
        <f t="shared" ref="K3:K52" si="2">DATEDIF(I3,TODAY(),"YM")</f>
        <v>9</v>
      </c>
      <c r="L3" s="18">
        <f t="shared" ref="L3:L52" si="3">TODAY()-H3</f>
        <v>555</v>
      </c>
      <c r="M3" s="19" t="str">
        <f t="shared" ref="M3:M52" si="4">J3&amp;"y "&amp;K3&amp;"m"</f>
        <v>4y 9m</v>
      </c>
    </row>
    <row r="4">
      <c r="A4" s="11" t="s">
        <v>140</v>
      </c>
      <c r="B4" s="20">
        <f>NOW()</f>
        <v>46295.98903</v>
      </c>
      <c r="E4" s="11" t="str">
        <f>Lists!G5</f>
        <v>CUST002</v>
      </c>
      <c r="F4" s="11" t="str">
        <f>Lists!H5</f>
        <v>Emma Wilson</v>
      </c>
      <c r="G4" s="16">
        <f>MINIFS(tx_Date,tx_CustID,$E4)</f>
        <v>45430</v>
      </c>
      <c r="H4" s="16">
        <f>MAXIFS(tx_Date,tx_CustID,$E4)</f>
        <v>45737</v>
      </c>
      <c r="I4" s="16">
        <f>MINIFS(tx_Since,tx_CustID,$E4)</f>
        <v>44748</v>
      </c>
      <c r="J4" s="17">
        <f t="shared" si="1"/>
        <v>4</v>
      </c>
      <c r="K4" s="17">
        <f t="shared" si="2"/>
        <v>2</v>
      </c>
      <c r="L4" s="18">
        <f t="shared" si="3"/>
        <v>558</v>
      </c>
      <c r="M4" s="19" t="str">
        <f t="shared" si="4"/>
        <v>4y 2m</v>
      </c>
    </row>
    <row r="5">
      <c r="A5" s="11" t="s">
        <v>174</v>
      </c>
      <c r="B5" s="14">
        <f>MIN(tx_Date)</f>
        <v>45393</v>
      </c>
      <c r="E5" s="11" t="str">
        <f>Lists!G6</f>
        <v>CUST003</v>
      </c>
      <c r="F5" s="11" t="str">
        <f>Lists!H6</f>
        <v>Michael Brown</v>
      </c>
      <c r="G5" s="16">
        <f>MINIFS(tx_Date,tx_CustID,$E5)</f>
        <v>45400</v>
      </c>
      <c r="H5" s="16">
        <f>MAXIFS(tx_Date,tx_CustID,$E5)</f>
        <v>45707</v>
      </c>
      <c r="I5" s="16">
        <f>MINIFS(tx_Since,tx_CustID,$E5)</f>
        <v>44422</v>
      </c>
      <c r="J5" s="17">
        <f t="shared" si="1"/>
        <v>5</v>
      </c>
      <c r="K5" s="17">
        <f t="shared" si="2"/>
        <v>1</v>
      </c>
      <c r="L5" s="18">
        <f t="shared" si="3"/>
        <v>588</v>
      </c>
      <c r="M5" s="19" t="str">
        <f t="shared" si="4"/>
        <v>5y 1m</v>
      </c>
    </row>
    <row r="6">
      <c r="A6" s="11" t="s">
        <v>194</v>
      </c>
      <c r="B6" s="14">
        <f>MAX(tx_Date)</f>
        <v>45758</v>
      </c>
      <c r="E6" s="11" t="str">
        <f>Lists!G7</f>
        <v>CUST004</v>
      </c>
      <c r="F6" s="11" t="str">
        <f>Lists!H7</f>
        <v>Sarah Davis</v>
      </c>
      <c r="G6" s="16">
        <f>MINIFS(tx_Date,tx_CustID,$E6)</f>
        <v>45446</v>
      </c>
      <c r="H6" s="16">
        <f>MAXIFS(tx_Date,tx_CustID,$E6)</f>
        <v>45619</v>
      </c>
      <c r="I6" s="16">
        <f>MINIFS(tx_Since,tx_CustID,$E6)</f>
        <v>44458</v>
      </c>
      <c r="J6" s="17">
        <f t="shared" si="1"/>
        <v>5</v>
      </c>
      <c r="K6" s="17">
        <f t="shared" si="2"/>
        <v>0</v>
      </c>
      <c r="L6" s="18">
        <f t="shared" si="3"/>
        <v>676</v>
      </c>
      <c r="M6" s="19" t="str">
        <f t="shared" si="4"/>
        <v>5y 0m</v>
      </c>
    </row>
    <row r="7">
      <c r="A7" s="11" t="s">
        <v>210</v>
      </c>
      <c r="B7" s="21" t="str">
        <f>DATEDIF(B5,B6,"M")&amp;" months, "&amp;DATEDIF(B5,B6,"MD")&amp;" days"</f>
        <v>12 months, 0 days</v>
      </c>
      <c r="E7" s="11" t="str">
        <f>Lists!G8</f>
        <v>CUST005</v>
      </c>
      <c r="F7" s="11" t="str">
        <f>Lists!H8</f>
        <v>James Johnson</v>
      </c>
      <c r="G7" s="16">
        <f>MINIFS(tx_Date,tx_CustID,$E7)</f>
        <v>45635</v>
      </c>
      <c r="H7" s="16">
        <f>MAXIFS(tx_Date,tx_CustID,$E7)</f>
        <v>45635</v>
      </c>
      <c r="I7" s="16">
        <f>MINIFS(tx_Since,tx_CustID,$E7)</f>
        <v>45052</v>
      </c>
      <c r="J7" s="17">
        <f t="shared" si="1"/>
        <v>3</v>
      </c>
      <c r="K7" s="17">
        <f t="shared" si="2"/>
        <v>4</v>
      </c>
      <c r="L7" s="18">
        <f t="shared" si="3"/>
        <v>660</v>
      </c>
      <c r="M7" s="19" t="str">
        <f t="shared" si="4"/>
        <v>3y 4m</v>
      </c>
    </row>
    <row r="8">
      <c r="A8" s="11" t="s">
        <v>230</v>
      </c>
      <c r="B8" s="22">
        <f>TODAY()-B6</f>
        <v>537</v>
      </c>
      <c r="E8" s="11" t="str">
        <f>Lists!G9</f>
        <v>CUST006</v>
      </c>
      <c r="F8" s="11" t="str">
        <f>Lists!H9</f>
        <v>Lisa Anderson</v>
      </c>
      <c r="G8" s="16">
        <f>MINIFS(tx_Date,tx_CustID,$E8)</f>
        <v>45428</v>
      </c>
      <c r="H8" s="16">
        <f>MAXIFS(tx_Date,tx_CustID,$E8)</f>
        <v>45676</v>
      </c>
      <c r="I8" s="16">
        <f>MINIFS(tx_Since,tx_CustID,$E8)</f>
        <v>44579</v>
      </c>
      <c r="J8" s="17">
        <f t="shared" si="1"/>
        <v>4</v>
      </c>
      <c r="K8" s="17">
        <f t="shared" si="2"/>
        <v>8</v>
      </c>
      <c r="L8" s="18">
        <f t="shared" si="3"/>
        <v>619</v>
      </c>
      <c r="M8" s="19" t="str">
        <f t="shared" si="4"/>
        <v>4y 8m</v>
      </c>
    </row>
    <row r="9">
      <c r="A9" s="11" t="s">
        <v>247</v>
      </c>
      <c r="B9" s="14">
        <f>EOMONTH(TODAY(),0)</f>
        <v>46295</v>
      </c>
      <c r="E9" s="11" t="str">
        <f>Lists!G10</f>
        <v>CUST007</v>
      </c>
      <c r="F9" s="11" t="str">
        <f>Lists!H10</f>
        <v>David Martinez</v>
      </c>
      <c r="G9" s="16">
        <f>MINIFS(tx_Date,tx_CustID,$E9)</f>
        <v>45476</v>
      </c>
      <c r="H9" s="16">
        <f>MAXIFS(tx_Date,tx_CustID,$E9)</f>
        <v>45648</v>
      </c>
      <c r="I9" s="16">
        <f>MINIFS(tx_Since,tx_CustID,$E9)</f>
        <v>44522</v>
      </c>
      <c r="J9" s="17">
        <f t="shared" si="1"/>
        <v>4</v>
      </c>
      <c r="K9" s="17">
        <f t="shared" si="2"/>
        <v>10</v>
      </c>
      <c r="L9" s="18">
        <f t="shared" si="3"/>
        <v>647</v>
      </c>
      <c r="M9" s="19" t="str">
        <f t="shared" si="4"/>
        <v>4y 10m</v>
      </c>
    </row>
    <row r="10">
      <c r="A10" s="11" t="s">
        <v>258</v>
      </c>
      <c r="B10" s="22">
        <f>EOMONTH(TODAY(),0)-TODAY()</f>
        <v>0</v>
      </c>
      <c r="E10" s="11" t="str">
        <f>Lists!G11</f>
        <v>CUST008</v>
      </c>
      <c r="F10" s="11" t="str">
        <f>Lists!H11</f>
        <v>Jennifer Taylor</v>
      </c>
      <c r="G10" s="16">
        <f>MINIFS(tx_Date,tx_CustID,$E10)</f>
        <v>45440</v>
      </c>
      <c r="H10" s="16">
        <f>MAXIFS(tx_Date,tx_CustID,$E10)</f>
        <v>45635</v>
      </c>
      <c r="I10" s="16">
        <f>MINIFS(tx_Since,tx_CustID,$E10)</f>
        <v>44407</v>
      </c>
      <c r="J10" s="17">
        <f t="shared" si="1"/>
        <v>5</v>
      </c>
      <c r="K10" s="17">
        <f t="shared" si="2"/>
        <v>2</v>
      </c>
      <c r="L10" s="18">
        <f t="shared" si="3"/>
        <v>660</v>
      </c>
      <c r="M10" s="19" t="str">
        <f t="shared" si="4"/>
        <v>5y 2m</v>
      </c>
    </row>
    <row r="11">
      <c r="A11" s="11" t="s">
        <v>271</v>
      </c>
      <c r="B11" s="14">
        <f>EOMONTH(DATE(YEAR(TODAY()),CEILING(MONTH(TODAY()),3),1),0)</f>
        <v>46295</v>
      </c>
      <c r="E11" s="11" t="str">
        <f>Lists!G12</f>
        <v>CUST009</v>
      </c>
      <c r="F11" s="11" t="str">
        <f>Lists!H12</f>
        <v>Robert Thomas</v>
      </c>
      <c r="G11" s="16">
        <f>MINIFS(tx_Date,tx_CustID,$E11)</f>
        <v>45405</v>
      </c>
      <c r="H11" s="16">
        <f>MAXIFS(tx_Date,tx_CustID,$E11)</f>
        <v>45756</v>
      </c>
      <c r="I11" s="16">
        <f>MINIFS(tx_Since,tx_CustID,$E11)</f>
        <v>44395</v>
      </c>
      <c r="J11" s="17">
        <f t="shared" si="1"/>
        <v>5</v>
      </c>
      <c r="K11" s="17">
        <f t="shared" si="2"/>
        <v>2</v>
      </c>
      <c r="L11" s="18">
        <f t="shared" si="3"/>
        <v>539</v>
      </c>
      <c r="M11" s="19" t="str">
        <f t="shared" si="4"/>
        <v>5y 2m</v>
      </c>
    </row>
    <row r="12">
      <c r="A12" s="11" t="s">
        <v>305</v>
      </c>
      <c r="B12" s="14">
        <f>EDATE(TODAY(),12)</f>
        <v>46660</v>
      </c>
      <c r="E12" s="11" t="str">
        <f>Lists!G13</f>
        <v>CUST010</v>
      </c>
      <c r="F12" s="11" t="str">
        <f>Lists!H13</f>
        <v>Maria Garcia</v>
      </c>
      <c r="G12" s="16">
        <f>MINIFS(tx_Date,tx_CustID,$E12)</f>
        <v>45410</v>
      </c>
      <c r="H12" s="16">
        <f>MAXIFS(tx_Date,tx_CustID,$E12)</f>
        <v>45604</v>
      </c>
      <c r="I12" s="16">
        <f>MINIFS(tx_Since,tx_CustID,$E12)</f>
        <v>44579</v>
      </c>
      <c r="J12" s="17">
        <f t="shared" si="1"/>
        <v>4</v>
      </c>
      <c r="K12" s="17">
        <f t="shared" si="2"/>
        <v>8</v>
      </c>
      <c r="L12" s="18">
        <f t="shared" si="3"/>
        <v>691</v>
      </c>
      <c r="M12" s="19" t="str">
        <f t="shared" si="4"/>
        <v>4y 8m</v>
      </c>
    </row>
    <row r="13">
      <c r="A13" s="11" t="s">
        <v>330</v>
      </c>
      <c r="B13" s="14">
        <f>EOMONTH(B6,-1)</f>
        <v>45747</v>
      </c>
      <c r="E13" s="11" t="str">
        <f>Lists!G14</f>
        <v>CUST011</v>
      </c>
      <c r="F13" s="11" t="str">
        <f>Lists!H14</f>
        <v>William White</v>
      </c>
      <c r="G13" s="16">
        <f>MINIFS(tx_Date,tx_CustID,$E13)</f>
        <v>45554</v>
      </c>
      <c r="H13" s="16">
        <f>MAXIFS(tx_Date,tx_CustID,$E13)</f>
        <v>45686</v>
      </c>
      <c r="I13" s="16">
        <f>MINIFS(tx_Since,tx_CustID,$E13)</f>
        <v>44482</v>
      </c>
      <c r="J13" s="17">
        <f t="shared" si="1"/>
        <v>4</v>
      </c>
      <c r="K13" s="17">
        <f t="shared" si="2"/>
        <v>11</v>
      </c>
      <c r="L13" s="18">
        <f t="shared" si="3"/>
        <v>609</v>
      </c>
      <c r="M13" s="19" t="str">
        <f t="shared" si="4"/>
        <v>4y 11m</v>
      </c>
    </row>
    <row r="14">
      <c r="E14" s="11" t="str">
        <f>Lists!G15</f>
        <v>CUST012</v>
      </c>
      <c r="F14" s="11" t="str">
        <f>Lists!H15</f>
        <v>Patricia Moore</v>
      </c>
      <c r="G14" s="16">
        <f>MINIFS(tx_Date,tx_CustID,$E14)</f>
        <v>45413</v>
      </c>
      <c r="H14" s="16">
        <f>MAXIFS(tx_Date,tx_CustID,$E14)</f>
        <v>45607</v>
      </c>
      <c r="I14" s="16">
        <f>MINIFS(tx_Since,tx_CustID,$E14)</f>
        <v>44409</v>
      </c>
      <c r="J14" s="17">
        <f t="shared" si="1"/>
        <v>5</v>
      </c>
      <c r="K14" s="17">
        <f t="shared" si="2"/>
        <v>1</v>
      </c>
      <c r="L14" s="18">
        <f t="shared" si="3"/>
        <v>688</v>
      </c>
      <c r="M14" s="19" t="str">
        <f t="shared" si="4"/>
        <v>5y 1m</v>
      </c>
    </row>
    <row r="15">
      <c r="E15" s="11" t="str">
        <f>Lists!G16</f>
        <v>CUST013</v>
      </c>
      <c r="F15" s="11" t="str">
        <f>Lists!H16</f>
        <v>Joseph Jackson</v>
      </c>
      <c r="G15" s="16">
        <f>MINIFS(tx_Date,tx_CustID,$E15)</f>
        <v>45396</v>
      </c>
      <c r="H15" s="16">
        <f>MAXIFS(tx_Date,tx_CustID,$E15)</f>
        <v>45627</v>
      </c>
      <c r="I15" s="16">
        <f>MINIFS(tx_Since,tx_CustID,$E15)</f>
        <v>44475</v>
      </c>
      <c r="J15" s="17">
        <f t="shared" si="1"/>
        <v>4</v>
      </c>
      <c r="K15" s="17">
        <f t="shared" si="2"/>
        <v>11</v>
      </c>
      <c r="L15" s="18">
        <f t="shared" si="3"/>
        <v>668</v>
      </c>
      <c r="M15" s="19" t="str">
        <f t="shared" si="4"/>
        <v>4y 11m</v>
      </c>
    </row>
    <row r="16">
      <c r="A16" s="27"/>
      <c r="E16" s="11" t="str">
        <f>Lists!G17</f>
        <v>CUST014</v>
      </c>
      <c r="F16" s="11" t="str">
        <f>Lists!H17</f>
        <v>Linda Martin</v>
      </c>
      <c r="G16" s="16">
        <f>MINIFS(tx_Date,tx_CustID,$E16)</f>
        <v>45424</v>
      </c>
      <c r="H16" s="16">
        <f>MAXIFS(tx_Date,tx_CustID,$E16)</f>
        <v>45648</v>
      </c>
      <c r="I16" s="16">
        <f>MINIFS(tx_Since,tx_CustID,$E16)</f>
        <v>44886</v>
      </c>
      <c r="J16" s="17">
        <f t="shared" si="1"/>
        <v>3</v>
      </c>
      <c r="K16" s="17">
        <f t="shared" si="2"/>
        <v>10</v>
      </c>
      <c r="L16" s="18">
        <f t="shared" si="3"/>
        <v>647</v>
      </c>
      <c r="M16" s="19" t="str">
        <f t="shared" si="4"/>
        <v>3y 10m</v>
      </c>
    </row>
    <row r="17">
      <c r="A17" s="23"/>
      <c r="E17" s="11" t="str">
        <f>Lists!G18</f>
        <v>CUST015</v>
      </c>
      <c r="F17" s="11" t="str">
        <f>Lists!H18</f>
        <v>Richard Lee</v>
      </c>
      <c r="G17" s="16">
        <f>MINIFS(tx_Date,tx_CustID,$E17)</f>
        <v>45564</v>
      </c>
      <c r="H17" s="16">
        <f>MAXIFS(tx_Date,tx_CustID,$E17)</f>
        <v>45715</v>
      </c>
      <c r="I17" s="16">
        <f>MINIFS(tx_Since,tx_CustID,$E17)</f>
        <v>44728</v>
      </c>
      <c r="J17" s="17">
        <f t="shared" si="1"/>
        <v>4</v>
      </c>
      <c r="K17" s="17">
        <f t="shared" si="2"/>
        <v>3</v>
      </c>
      <c r="L17" s="18">
        <f t="shared" si="3"/>
        <v>580</v>
      </c>
      <c r="M17" s="19" t="str">
        <f t="shared" si="4"/>
        <v>4y 3m</v>
      </c>
    </row>
    <row r="18">
      <c r="A18" s="23"/>
      <c r="E18" s="11" t="str">
        <f>Lists!G19</f>
        <v>CUST016</v>
      </c>
      <c r="F18" s="11" t="str">
        <f>Lists!H19</f>
        <v>Elizabeth Hall</v>
      </c>
      <c r="G18" s="16">
        <f>MINIFS(tx_Date,tx_CustID,$E18)</f>
        <v>45509</v>
      </c>
      <c r="H18" s="16">
        <f>MAXIFS(tx_Date,tx_CustID,$E18)</f>
        <v>45711</v>
      </c>
      <c r="I18" s="16">
        <f>MINIFS(tx_Since,tx_CustID,$E18)</f>
        <v>44431</v>
      </c>
      <c r="J18" s="17">
        <f t="shared" si="1"/>
        <v>5</v>
      </c>
      <c r="K18" s="17">
        <f t="shared" si="2"/>
        <v>1</v>
      </c>
      <c r="L18" s="18">
        <f t="shared" si="3"/>
        <v>584</v>
      </c>
      <c r="M18" s="19" t="str">
        <f t="shared" si="4"/>
        <v>5y 1m</v>
      </c>
    </row>
    <row r="19" ht="15.75" customHeight="1">
      <c r="E19" s="11" t="str">
        <f>Lists!G20</f>
        <v>CUST017</v>
      </c>
      <c r="F19" s="11" t="str">
        <f>Lists!H20</f>
        <v>Charles Allen</v>
      </c>
      <c r="G19" s="16">
        <f>MINIFS(tx_Date,tx_CustID,$E19)</f>
        <v>45403</v>
      </c>
      <c r="H19" s="16">
        <f>MAXIFS(tx_Date,tx_CustID,$E19)</f>
        <v>45724</v>
      </c>
      <c r="I19" s="16">
        <f>MINIFS(tx_Since,tx_CustID,$E19)</f>
        <v>44412</v>
      </c>
      <c r="J19" s="17">
        <f t="shared" si="1"/>
        <v>5</v>
      </c>
      <c r="K19" s="17">
        <f t="shared" si="2"/>
        <v>1</v>
      </c>
      <c r="L19" s="18">
        <f t="shared" si="3"/>
        <v>571</v>
      </c>
      <c r="M19" s="19" t="str">
        <f t="shared" si="4"/>
        <v>5y 1m</v>
      </c>
    </row>
    <row r="20" ht="15.75" customHeight="1">
      <c r="A20" s="23"/>
      <c r="E20" s="11" t="str">
        <f>Lists!G21</f>
        <v>CUST018</v>
      </c>
      <c r="F20" s="11" t="str">
        <f>Lists!H21</f>
        <v>Barbara Young</v>
      </c>
      <c r="G20" s="16">
        <f>MINIFS(tx_Date,tx_CustID,$E20)</f>
        <v>45412</v>
      </c>
      <c r="H20" s="16">
        <f>MAXIFS(tx_Date,tx_CustID,$E20)</f>
        <v>45708</v>
      </c>
      <c r="I20" s="16">
        <f>MINIFS(tx_Since,tx_CustID,$E20)</f>
        <v>44613</v>
      </c>
      <c r="J20" s="17">
        <f t="shared" si="1"/>
        <v>4</v>
      </c>
      <c r="K20" s="17">
        <f t="shared" si="2"/>
        <v>7</v>
      </c>
      <c r="L20" s="18">
        <f t="shared" si="3"/>
        <v>587</v>
      </c>
      <c r="M20" s="19" t="str">
        <f t="shared" si="4"/>
        <v>4y 7m</v>
      </c>
    </row>
    <row r="21" ht="15.75" customHeight="1">
      <c r="E21" s="11" t="str">
        <f>Lists!G22</f>
        <v>CUST019</v>
      </c>
      <c r="F21" s="11" t="str">
        <f>Lists!H22</f>
        <v>Daniel King</v>
      </c>
      <c r="G21" s="16">
        <f>MINIFS(tx_Date,tx_CustID,$E21)</f>
        <v>45443</v>
      </c>
      <c r="H21" s="16">
        <f>MAXIFS(tx_Date,tx_CustID,$E21)</f>
        <v>45660</v>
      </c>
      <c r="I21" s="16">
        <f>MINIFS(tx_Since,tx_CustID,$E21)</f>
        <v>44446</v>
      </c>
      <c r="J21" s="17">
        <f t="shared" si="1"/>
        <v>5</v>
      </c>
      <c r="K21" s="17">
        <f t="shared" si="2"/>
        <v>0</v>
      </c>
      <c r="L21" s="18">
        <f t="shared" si="3"/>
        <v>635</v>
      </c>
      <c r="M21" s="19" t="str">
        <f t="shared" si="4"/>
        <v>5y 0m</v>
      </c>
    </row>
    <row r="22" ht="15.75" customHeight="1">
      <c r="E22" s="11" t="str">
        <f>Lists!G23</f>
        <v>CUST020</v>
      </c>
      <c r="F22" s="11" t="str">
        <f>Lists!H23</f>
        <v>Margaret Wright</v>
      </c>
      <c r="G22" s="16">
        <f>MINIFS(tx_Date,tx_CustID,$E22)</f>
        <v>45481</v>
      </c>
      <c r="H22" s="16">
        <f>MAXIFS(tx_Date,tx_CustID,$E22)</f>
        <v>45745</v>
      </c>
      <c r="I22" s="16">
        <f>MINIFS(tx_Since,tx_CustID,$E22)</f>
        <v>44421</v>
      </c>
      <c r="J22" s="17">
        <f t="shared" si="1"/>
        <v>5</v>
      </c>
      <c r="K22" s="17">
        <f t="shared" si="2"/>
        <v>1</v>
      </c>
      <c r="L22" s="18">
        <f t="shared" si="3"/>
        <v>550</v>
      </c>
      <c r="M22" s="19" t="str">
        <f t="shared" si="4"/>
        <v>5y 1m</v>
      </c>
    </row>
    <row r="23" ht="15.75" customHeight="1">
      <c r="E23" s="11" t="str">
        <f>Lists!G24</f>
        <v>CUST021</v>
      </c>
      <c r="F23" s="11" t="str">
        <f>Lists!H24</f>
        <v>Kevin Scott</v>
      </c>
      <c r="G23" s="16">
        <f>MINIFS(tx_Date,tx_CustID,$E23)</f>
        <v>45399</v>
      </c>
      <c r="H23" s="16">
        <f>MAXIFS(tx_Date,tx_CustID,$E23)</f>
        <v>45704</v>
      </c>
      <c r="I23" s="16">
        <f>MINIFS(tx_Since,tx_CustID,$E23)</f>
        <v>44578</v>
      </c>
      <c r="J23" s="17">
        <f t="shared" si="1"/>
        <v>4</v>
      </c>
      <c r="K23" s="17">
        <f t="shared" si="2"/>
        <v>8</v>
      </c>
      <c r="L23" s="18">
        <f t="shared" si="3"/>
        <v>591</v>
      </c>
      <c r="M23" s="19" t="str">
        <f t="shared" si="4"/>
        <v>4y 8m</v>
      </c>
    </row>
    <row r="24" ht="15.75" customHeight="1">
      <c r="E24" s="11" t="str">
        <f>Lists!G25</f>
        <v>CUST022</v>
      </c>
      <c r="F24" s="11" t="str">
        <f>Lists!H25</f>
        <v>Susan Green</v>
      </c>
      <c r="G24" s="16">
        <f>MINIFS(tx_Date,tx_CustID,$E24)</f>
        <v>45408</v>
      </c>
      <c r="H24" s="16">
        <f>MAXIFS(tx_Date,tx_CustID,$E24)</f>
        <v>45682</v>
      </c>
      <c r="I24" s="16">
        <f>MINIFS(tx_Since,tx_CustID,$E24)</f>
        <v>44564</v>
      </c>
      <c r="J24" s="17">
        <f t="shared" si="1"/>
        <v>4</v>
      </c>
      <c r="K24" s="17">
        <f t="shared" si="2"/>
        <v>8</v>
      </c>
      <c r="L24" s="18">
        <f t="shared" si="3"/>
        <v>613</v>
      </c>
      <c r="M24" s="19" t="str">
        <f t="shared" si="4"/>
        <v>4y 8m</v>
      </c>
    </row>
    <row r="25" ht="15.75" customHeight="1">
      <c r="E25" s="11" t="str">
        <f>Lists!G26</f>
        <v>CUST023</v>
      </c>
      <c r="F25" s="11" t="str">
        <f>Lists!H26</f>
        <v>Paul Baker</v>
      </c>
      <c r="G25" s="16">
        <f>MINIFS(tx_Date,tx_CustID,$E25)</f>
        <v>45393</v>
      </c>
      <c r="H25" s="16">
        <f>MAXIFS(tx_Date,tx_CustID,$E25)</f>
        <v>45739</v>
      </c>
      <c r="I25" s="16">
        <f>MINIFS(tx_Since,tx_CustID,$E25)</f>
        <v>44425</v>
      </c>
      <c r="J25" s="17">
        <f t="shared" si="1"/>
        <v>5</v>
      </c>
      <c r="K25" s="17">
        <f t="shared" si="2"/>
        <v>1</v>
      </c>
      <c r="L25" s="18">
        <f t="shared" si="3"/>
        <v>556</v>
      </c>
      <c r="M25" s="19" t="str">
        <f t="shared" si="4"/>
        <v>5y 1m</v>
      </c>
    </row>
    <row r="26" ht="15.75" customHeight="1">
      <c r="E26" s="11" t="str">
        <f>Lists!G27</f>
        <v>CUST024</v>
      </c>
      <c r="F26" s="11" t="str">
        <f>Lists!H27</f>
        <v>Dorothy Nelson</v>
      </c>
      <c r="G26" s="16">
        <f>MINIFS(tx_Date,tx_CustID,$E26)</f>
        <v>45403</v>
      </c>
      <c r="H26" s="16">
        <f>MAXIFS(tx_Date,tx_CustID,$E26)</f>
        <v>45737</v>
      </c>
      <c r="I26" s="16">
        <f>MINIFS(tx_Since,tx_CustID,$E26)</f>
        <v>44418</v>
      </c>
      <c r="J26" s="17">
        <f t="shared" si="1"/>
        <v>5</v>
      </c>
      <c r="K26" s="17">
        <f t="shared" si="2"/>
        <v>1</v>
      </c>
      <c r="L26" s="18">
        <f t="shared" si="3"/>
        <v>558</v>
      </c>
      <c r="M26" s="19" t="str">
        <f t="shared" si="4"/>
        <v>5y 1m</v>
      </c>
    </row>
    <row r="27" ht="15.75" customHeight="1">
      <c r="E27" s="11" t="str">
        <f>Lists!G28</f>
        <v>CUST025</v>
      </c>
      <c r="F27" s="11" t="str">
        <f>Lists!H28</f>
        <v>Mark Carter</v>
      </c>
      <c r="G27" s="16">
        <f>MINIFS(tx_Date,tx_CustID,$E27)</f>
        <v>45410</v>
      </c>
      <c r="H27" s="16">
        <f>MAXIFS(tx_Date,tx_CustID,$E27)</f>
        <v>45686</v>
      </c>
      <c r="I27" s="16">
        <f>MINIFS(tx_Since,tx_CustID,$E27)</f>
        <v>44436</v>
      </c>
      <c r="J27" s="17">
        <f t="shared" si="1"/>
        <v>5</v>
      </c>
      <c r="K27" s="17">
        <f t="shared" si="2"/>
        <v>1</v>
      </c>
      <c r="L27" s="18">
        <f t="shared" si="3"/>
        <v>609</v>
      </c>
      <c r="M27" s="19" t="str">
        <f t="shared" si="4"/>
        <v>5y 1m</v>
      </c>
    </row>
    <row r="28" ht="15.75" customHeight="1">
      <c r="E28" s="11" t="str">
        <f>Lists!G29</f>
        <v>CUST026</v>
      </c>
      <c r="F28" s="11" t="str">
        <f>Lists!H29</f>
        <v>Karen Hill</v>
      </c>
      <c r="G28" s="16">
        <f>MINIFS(tx_Date,tx_CustID,$E28)</f>
        <v>45408</v>
      </c>
      <c r="H28" s="16">
        <f>MAXIFS(tx_Date,tx_CustID,$E28)</f>
        <v>45746</v>
      </c>
      <c r="I28" s="16">
        <f>MINIFS(tx_Since,tx_CustID,$E28)</f>
        <v>44465</v>
      </c>
      <c r="J28" s="17">
        <f t="shared" si="1"/>
        <v>5</v>
      </c>
      <c r="K28" s="17">
        <f t="shared" si="2"/>
        <v>0</v>
      </c>
      <c r="L28" s="18">
        <f t="shared" si="3"/>
        <v>549</v>
      </c>
      <c r="M28" s="19" t="str">
        <f t="shared" si="4"/>
        <v>5y 0m</v>
      </c>
    </row>
    <row r="29" ht="15.75" customHeight="1">
      <c r="E29" s="11" t="str">
        <f>Lists!G30</f>
        <v>CUST027</v>
      </c>
      <c r="F29" s="11" t="str">
        <f>Lists!H30</f>
        <v>George Adams</v>
      </c>
      <c r="G29" s="16">
        <f>MINIFS(tx_Date,tx_CustID,$E29)</f>
        <v>45409</v>
      </c>
      <c r="H29" s="16">
        <f>MAXIFS(tx_Date,tx_CustID,$E29)</f>
        <v>45608</v>
      </c>
      <c r="I29" s="16">
        <f>MINIFS(tx_Since,tx_CustID,$E29)</f>
        <v>44920</v>
      </c>
      <c r="J29" s="17">
        <f t="shared" si="1"/>
        <v>3</v>
      </c>
      <c r="K29" s="17">
        <f t="shared" si="2"/>
        <v>9</v>
      </c>
      <c r="L29" s="18">
        <f t="shared" si="3"/>
        <v>687</v>
      </c>
      <c r="M29" s="19" t="str">
        <f t="shared" si="4"/>
        <v>3y 9m</v>
      </c>
    </row>
    <row r="30" ht="15.75" customHeight="1">
      <c r="E30" s="11" t="str">
        <f>Lists!G31</f>
        <v>CUST028</v>
      </c>
      <c r="F30" s="11" t="str">
        <f>Lists!H31</f>
        <v>Betty Campbell</v>
      </c>
      <c r="G30" s="16">
        <f>MINIFS(tx_Date,tx_CustID,$E30)</f>
        <v>45449</v>
      </c>
      <c r="H30" s="16">
        <f>MAXIFS(tx_Date,tx_CustID,$E30)</f>
        <v>45671</v>
      </c>
      <c r="I30" s="16">
        <f>MINIFS(tx_Since,tx_CustID,$E30)</f>
        <v>44460</v>
      </c>
      <c r="J30" s="17">
        <f t="shared" si="1"/>
        <v>5</v>
      </c>
      <c r="K30" s="17">
        <f t="shared" si="2"/>
        <v>0</v>
      </c>
      <c r="L30" s="18">
        <f t="shared" si="3"/>
        <v>624</v>
      </c>
      <c r="M30" s="19" t="str">
        <f t="shared" si="4"/>
        <v>5y 0m</v>
      </c>
    </row>
    <row r="31" ht="15.75" customHeight="1">
      <c r="E31" s="11" t="str">
        <f>Lists!G32</f>
        <v>CUST029</v>
      </c>
      <c r="F31" s="11" t="str">
        <f>Lists!H32</f>
        <v>Edward Mitchell</v>
      </c>
      <c r="G31" s="16">
        <f>MINIFS(tx_Date,tx_CustID,$E31)</f>
        <v>45427</v>
      </c>
      <c r="H31" s="16">
        <f>MAXIFS(tx_Date,tx_CustID,$E31)</f>
        <v>45749</v>
      </c>
      <c r="I31" s="16">
        <f>MINIFS(tx_Since,tx_CustID,$E31)</f>
        <v>44427</v>
      </c>
      <c r="J31" s="17">
        <f t="shared" si="1"/>
        <v>5</v>
      </c>
      <c r="K31" s="17">
        <f t="shared" si="2"/>
        <v>1</v>
      </c>
      <c r="L31" s="18">
        <f t="shared" si="3"/>
        <v>546</v>
      </c>
      <c r="M31" s="19" t="str">
        <f t="shared" si="4"/>
        <v>5y 1m</v>
      </c>
    </row>
    <row r="32" ht="15.75" customHeight="1">
      <c r="E32" s="11" t="str">
        <f>Lists!G33</f>
        <v>CUST030</v>
      </c>
      <c r="F32" s="11" t="str">
        <f>Lists!H33</f>
        <v>Helen Roberts</v>
      </c>
      <c r="G32" s="16">
        <f>MINIFS(tx_Date,tx_CustID,$E32)</f>
        <v>45425</v>
      </c>
      <c r="H32" s="16">
        <f>MAXIFS(tx_Date,tx_CustID,$E32)</f>
        <v>45723</v>
      </c>
      <c r="I32" s="16">
        <f>MINIFS(tx_Since,tx_CustID,$E32)</f>
        <v>44523</v>
      </c>
      <c r="J32" s="17">
        <f t="shared" si="1"/>
        <v>4</v>
      </c>
      <c r="K32" s="17">
        <f t="shared" si="2"/>
        <v>10</v>
      </c>
      <c r="L32" s="18">
        <f t="shared" si="3"/>
        <v>572</v>
      </c>
      <c r="M32" s="19" t="str">
        <f t="shared" si="4"/>
        <v>4y 10m</v>
      </c>
    </row>
    <row r="33" ht="15.75" customHeight="1">
      <c r="E33" s="11" t="str">
        <f>Lists!G34</f>
        <v>CUST031</v>
      </c>
      <c r="F33" s="11" t="str">
        <f>Lists!H34</f>
        <v>Steven Turner</v>
      </c>
      <c r="G33" s="16">
        <f>MINIFS(tx_Date,tx_CustID,$E33)</f>
        <v>45438</v>
      </c>
      <c r="H33" s="16">
        <f>MAXIFS(tx_Date,tx_CustID,$E33)</f>
        <v>45758</v>
      </c>
      <c r="I33" s="16">
        <f>MINIFS(tx_Since,tx_CustID,$E33)</f>
        <v>44536</v>
      </c>
      <c r="J33" s="17">
        <f t="shared" si="1"/>
        <v>4</v>
      </c>
      <c r="K33" s="17">
        <f t="shared" si="2"/>
        <v>9</v>
      </c>
      <c r="L33" s="18">
        <f t="shared" si="3"/>
        <v>537</v>
      </c>
      <c r="M33" s="19" t="str">
        <f t="shared" si="4"/>
        <v>4y 9m</v>
      </c>
    </row>
    <row r="34" ht="15.75" customHeight="1">
      <c r="E34" s="11" t="str">
        <f>Lists!G35</f>
        <v>CUST032</v>
      </c>
      <c r="F34" s="11" t="str">
        <f>Lists!H35</f>
        <v>Sandra Phillips</v>
      </c>
      <c r="G34" s="16">
        <f>MINIFS(tx_Date,tx_CustID,$E34)</f>
        <v>45534</v>
      </c>
      <c r="H34" s="16">
        <f>MAXIFS(tx_Date,tx_CustID,$E34)</f>
        <v>45671</v>
      </c>
      <c r="I34" s="16">
        <f>MINIFS(tx_Since,tx_CustID,$E34)</f>
        <v>44421</v>
      </c>
      <c r="J34" s="17">
        <f t="shared" si="1"/>
        <v>5</v>
      </c>
      <c r="K34" s="17">
        <f t="shared" si="2"/>
        <v>1</v>
      </c>
      <c r="L34" s="18">
        <f t="shared" si="3"/>
        <v>624</v>
      </c>
      <c r="M34" s="19" t="str">
        <f t="shared" si="4"/>
        <v>5y 1m</v>
      </c>
    </row>
    <row r="35" ht="15.75" customHeight="1">
      <c r="E35" s="11" t="str">
        <f>Lists!G36</f>
        <v>CUST033</v>
      </c>
      <c r="F35" s="11" t="str">
        <f>Lists!H36</f>
        <v>Frank Torres</v>
      </c>
      <c r="G35" s="16">
        <f>MINIFS(tx_Date,tx_CustID,$E35)</f>
        <v>45484</v>
      </c>
      <c r="H35" s="16">
        <f>MAXIFS(tx_Date,tx_CustID,$E35)</f>
        <v>45734</v>
      </c>
      <c r="I35" s="16">
        <f>MINIFS(tx_Since,tx_CustID,$E35)</f>
        <v>44541</v>
      </c>
      <c r="J35" s="17">
        <f t="shared" si="1"/>
        <v>4</v>
      </c>
      <c r="K35" s="17">
        <f t="shared" si="2"/>
        <v>9</v>
      </c>
      <c r="L35" s="18">
        <f t="shared" si="3"/>
        <v>561</v>
      </c>
      <c r="M35" s="19" t="str">
        <f t="shared" si="4"/>
        <v>4y 9m</v>
      </c>
    </row>
    <row r="36" ht="15.75" customHeight="1">
      <c r="E36" s="11" t="str">
        <f>Lists!G37</f>
        <v>CUST034</v>
      </c>
      <c r="F36" s="11" t="str">
        <f>Lists!H37</f>
        <v>Carol Evans</v>
      </c>
      <c r="G36" s="16">
        <f>MINIFS(tx_Date,tx_CustID,$E36)</f>
        <v>45532</v>
      </c>
      <c r="H36" s="16">
        <f>MAXIFS(tx_Date,tx_CustID,$E36)</f>
        <v>45573</v>
      </c>
      <c r="I36" s="16">
        <f>MINIFS(tx_Since,tx_CustID,$E36)</f>
        <v>44685</v>
      </c>
      <c r="J36" s="17">
        <f t="shared" si="1"/>
        <v>4</v>
      </c>
      <c r="K36" s="17">
        <f t="shared" si="2"/>
        <v>4</v>
      </c>
      <c r="L36" s="18">
        <f t="shared" si="3"/>
        <v>722</v>
      </c>
      <c r="M36" s="19" t="str">
        <f t="shared" si="4"/>
        <v>4y 4m</v>
      </c>
    </row>
    <row r="37" ht="15.75" customHeight="1">
      <c r="E37" s="11" t="str">
        <f>Lists!G38</f>
        <v>CUST035</v>
      </c>
      <c r="F37" s="11" t="str">
        <f>Lists!H38</f>
        <v>Harry Morgan</v>
      </c>
      <c r="G37" s="16">
        <f>MINIFS(tx_Date,tx_CustID,$E37)</f>
        <v>45441</v>
      </c>
      <c r="H37" s="16">
        <f>MAXIFS(tx_Date,tx_CustID,$E37)</f>
        <v>45726</v>
      </c>
      <c r="I37" s="16">
        <f>MINIFS(tx_Since,tx_CustID,$E37)</f>
        <v>44572</v>
      </c>
      <c r="J37" s="17">
        <f t="shared" si="1"/>
        <v>4</v>
      </c>
      <c r="K37" s="17">
        <f t="shared" si="2"/>
        <v>8</v>
      </c>
      <c r="L37" s="18">
        <f t="shared" si="3"/>
        <v>569</v>
      </c>
      <c r="M37" s="19" t="str">
        <f t="shared" si="4"/>
        <v>4y 8m</v>
      </c>
    </row>
    <row r="38" ht="15.75" customHeight="1">
      <c r="E38" s="11" t="str">
        <f>Lists!G39</f>
        <v>CUST036</v>
      </c>
      <c r="F38" s="11" t="str">
        <f>Lists!H39</f>
        <v>Nancy Collins</v>
      </c>
      <c r="G38" s="16">
        <f>MINIFS(tx_Date,tx_CustID,$E38)</f>
        <v>45422</v>
      </c>
      <c r="H38" s="16">
        <f>MAXIFS(tx_Date,tx_CustID,$E38)</f>
        <v>45701</v>
      </c>
      <c r="I38" s="16">
        <f>MINIFS(tx_Since,tx_CustID,$E38)</f>
        <v>44396</v>
      </c>
      <c r="J38" s="17">
        <f t="shared" si="1"/>
        <v>5</v>
      </c>
      <c r="K38" s="17">
        <f t="shared" si="2"/>
        <v>2</v>
      </c>
      <c r="L38" s="18">
        <f t="shared" si="3"/>
        <v>594</v>
      </c>
      <c r="M38" s="19" t="str">
        <f t="shared" si="4"/>
        <v>5y 2m</v>
      </c>
    </row>
    <row r="39" ht="15.75" customHeight="1">
      <c r="E39" s="11" t="str">
        <f>Lists!G40</f>
        <v>CUST037</v>
      </c>
      <c r="F39" s="11" t="str">
        <f>Lists!H40</f>
        <v>Arthur Edwards</v>
      </c>
      <c r="G39" s="16">
        <f>MINIFS(tx_Date,tx_CustID,$E39)</f>
        <v>45661</v>
      </c>
      <c r="H39" s="16">
        <f>MAXIFS(tx_Date,tx_CustID,$E39)</f>
        <v>45711</v>
      </c>
      <c r="I39" s="16">
        <f>MINIFS(tx_Since,tx_CustID,$E39)</f>
        <v>44412</v>
      </c>
      <c r="J39" s="17">
        <f t="shared" si="1"/>
        <v>5</v>
      </c>
      <c r="K39" s="17">
        <f t="shared" si="2"/>
        <v>1</v>
      </c>
      <c r="L39" s="18">
        <f t="shared" si="3"/>
        <v>584</v>
      </c>
      <c r="M39" s="19" t="str">
        <f t="shared" si="4"/>
        <v>5y 1m</v>
      </c>
    </row>
    <row r="40" ht="15.75" customHeight="1">
      <c r="E40" s="11" t="str">
        <f>Lists!G41</f>
        <v>CUST038</v>
      </c>
      <c r="F40" s="11" t="str">
        <f>Lists!H41</f>
        <v>Michelle Rogers</v>
      </c>
      <c r="G40" s="16">
        <f>MINIFS(tx_Date,tx_CustID,$E40)</f>
        <v>45409</v>
      </c>
      <c r="H40" s="16">
        <f>MAXIFS(tx_Date,tx_CustID,$E40)</f>
        <v>45668</v>
      </c>
      <c r="I40" s="16">
        <f>MINIFS(tx_Since,tx_CustID,$E40)</f>
        <v>44577</v>
      </c>
      <c r="J40" s="17">
        <f t="shared" si="1"/>
        <v>4</v>
      </c>
      <c r="K40" s="17">
        <f t="shared" si="2"/>
        <v>8</v>
      </c>
      <c r="L40" s="18">
        <f t="shared" si="3"/>
        <v>627</v>
      </c>
      <c r="M40" s="19" t="str">
        <f t="shared" si="4"/>
        <v>4y 8m</v>
      </c>
    </row>
    <row r="41" ht="15.75" customHeight="1">
      <c r="E41" s="11" t="str">
        <f>Lists!G42</f>
        <v>CUST039</v>
      </c>
      <c r="F41" s="11" t="str">
        <f>Lists!H42</f>
        <v>Lawrence Reed</v>
      </c>
      <c r="G41" s="16">
        <f>MINIFS(tx_Date,tx_CustID,$E41)</f>
        <v>45528</v>
      </c>
      <c r="H41" s="16">
        <f>MAXIFS(tx_Date,tx_CustID,$E41)</f>
        <v>45758</v>
      </c>
      <c r="I41" s="16">
        <f>MINIFS(tx_Since,tx_CustID,$E41)</f>
        <v>44544</v>
      </c>
      <c r="J41" s="17">
        <f t="shared" si="1"/>
        <v>4</v>
      </c>
      <c r="K41" s="17">
        <f t="shared" si="2"/>
        <v>9</v>
      </c>
      <c r="L41" s="18">
        <f t="shared" si="3"/>
        <v>537</v>
      </c>
      <c r="M41" s="19" t="str">
        <f t="shared" si="4"/>
        <v>4y 9m</v>
      </c>
    </row>
    <row r="42" ht="15.75" customHeight="1">
      <c r="E42" s="11" t="str">
        <f>Lists!G43</f>
        <v>CUST040</v>
      </c>
      <c r="F42" s="11" t="str">
        <f>Lists!H43</f>
        <v>Sharon Butler</v>
      </c>
      <c r="G42" s="16">
        <f>MINIFS(tx_Date,tx_CustID,$E42)</f>
        <v>45444</v>
      </c>
      <c r="H42" s="16">
        <f>MAXIFS(tx_Date,tx_CustID,$E42)</f>
        <v>45737</v>
      </c>
      <c r="I42" s="16">
        <f>MINIFS(tx_Since,tx_CustID,$E42)</f>
        <v>44876</v>
      </c>
      <c r="J42" s="17">
        <f t="shared" si="1"/>
        <v>3</v>
      </c>
      <c r="K42" s="17">
        <f t="shared" si="2"/>
        <v>10</v>
      </c>
      <c r="L42" s="18">
        <f t="shared" si="3"/>
        <v>558</v>
      </c>
      <c r="M42" s="19" t="str">
        <f t="shared" si="4"/>
        <v>3y 10m</v>
      </c>
    </row>
    <row r="43" ht="15.75" customHeight="1">
      <c r="E43" s="11" t="str">
        <f>Lists!G44</f>
        <v>CUST041</v>
      </c>
      <c r="F43" s="11" t="str">
        <f>Lists!H44</f>
        <v>Peter Richardson</v>
      </c>
      <c r="G43" s="16">
        <f>MINIFS(tx_Date,tx_CustID,$E43)</f>
        <v>45408</v>
      </c>
      <c r="H43" s="16">
        <f>MAXIFS(tx_Date,tx_CustID,$E43)</f>
        <v>45638</v>
      </c>
      <c r="I43" s="16">
        <f>MINIFS(tx_Since,tx_CustID,$E43)</f>
        <v>44406</v>
      </c>
      <c r="J43" s="17">
        <f t="shared" si="1"/>
        <v>5</v>
      </c>
      <c r="K43" s="17">
        <f t="shared" si="2"/>
        <v>2</v>
      </c>
      <c r="L43" s="18">
        <f t="shared" si="3"/>
        <v>657</v>
      </c>
      <c r="M43" s="19" t="str">
        <f t="shared" si="4"/>
        <v>5y 2m</v>
      </c>
    </row>
    <row r="44" ht="15.75" customHeight="1">
      <c r="E44" s="11" t="str">
        <f>Lists!G45</f>
        <v>CUST042</v>
      </c>
      <c r="F44" s="11" t="str">
        <f>Lists!H45</f>
        <v>Ruth Brooks</v>
      </c>
      <c r="G44" s="16">
        <f>MINIFS(tx_Date,tx_CustID,$E44)</f>
        <v>45550</v>
      </c>
      <c r="H44" s="16">
        <f>MAXIFS(tx_Date,tx_CustID,$E44)</f>
        <v>45711</v>
      </c>
      <c r="I44" s="16">
        <f>MINIFS(tx_Since,tx_CustID,$E44)</f>
        <v>44564</v>
      </c>
      <c r="J44" s="17">
        <f t="shared" si="1"/>
        <v>4</v>
      </c>
      <c r="K44" s="17">
        <f t="shared" si="2"/>
        <v>8</v>
      </c>
      <c r="L44" s="18">
        <f t="shared" si="3"/>
        <v>584</v>
      </c>
      <c r="M44" s="19" t="str">
        <f t="shared" si="4"/>
        <v>4y 8m</v>
      </c>
    </row>
    <row r="45" ht="15.75" customHeight="1">
      <c r="E45" s="11" t="str">
        <f>Lists!G46</f>
        <v>CUST043</v>
      </c>
      <c r="F45" s="11" t="str">
        <f>Lists!H46</f>
        <v>Dennis Gray</v>
      </c>
      <c r="G45" s="16">
        <f>MINIFS(tx_Date,tx_CustID,$E45)</f>
        <v>45409</v>
      </c>
      <c r="H45" s="16">
        <f>MAXIFS(tx_Date,tx_CustID,$E45)</f>
        <v>45721</v>
      </c>
      <c r="I45" s="16">
        <f>MINIFS(tx_Since,tx_CustID,$E45)</f>
        <v>45291</v>
      </c>
      <c r="J45" s="17">
        <f t="shared" si="1"/>
        <v>2</v>
      </c>
      <c r="K45" s="17">
        <f t="shared" si="2"/>
        <v>8</v>
      </c>
      <c r="L45" s="18">
        <f t="shared" si="3"/>
        <v>574</v>
      </c>
      <c r="M45" s="19" t="str">
        <f t="shared" si="4"/>
        <v>2y 8m</v>
      </c>
    </row>
    <row r="46" ht="15.75" customHeight="1">
      <c r="E46" s="11" t="str">
        <f>Lists!G47</f>
        <v>CUST044</v>
      </c>
      <c r="F46" s="11" t="str">
        <f>Lists!H47</f>
        <v>Cynthia Price</v>
      </c>
      <c r="G46" s="16">
        <f>MINIFS(tx_Date,tx_CustID,$E46)</f>
        <v>45415</v>
      </c>
      <c r="H46" s="16">
        <f>MAXIFS(tx_Date,tx_CustID,$E46)</f>
        <v>45748</v>
      </c>
      <c r="I46" s="16">
        <f>MINIFS(tx_Since,tx_CustID,$E46)</f>
        <v>44468</v>
      </c>
      <c r="J46" s="17">
        <f t="shared" si="1"/>
        <v>5</v>
      </c>
      <c r="K46" s="17">
        <f t="shared" si="2"/>
        <v>0</v>
      </c>
      <c r="L46" s="18">
        <f t="shared" si="3"/>
        <v>547</v>
      </c>
      <c r="M46" s="19" t="str">
        <f t="shared" si="4"/>
        <v>5y 0m</v>
      </c>
    </row>
    <row r="47" ht="15.75" customHeight="1">
      <c r="E47" s="11" t="str">
        <f>Lists!G48</f>
        <v>CUST045</v>
      </c>
      <c r="F47" s="11" t="str">
        <f>Lists!H48</f>
        <v>Douglas Watson</v>
      </c>
      <c r="G47" s="16">
        <f>MINIFS(tx_Date,tx_CustID,$E47)</f>
        <v>45622</v>
      </c>
      <c r="H47" s="16">
        <f>MAXIFS(tx_Date,tx_CustID,$E47)</f>
        <v>45758</v>
      </c>
      <c r="I47" s="16">
        <f>MINIFS(tx_Since,tx_CustID,$E47)</f>
        <v>44681</v>
      </c>
      <c r="J47" s="17">
        <f t="shared" si="1"/>
        <v>4</v>
      </c>
      <c r="K47" s="17">
        <f t="shared" si="2"/>
        <v>5</v>
      </c>
      <c r="L47" s="18">
        <f t="shared" si="3"/>
        <v>537</v>
      </c>
      <c r="M47" s="19" t="str">
        <f t="shared" si="4"/>
        <v>4y 5m</v>
      </c>
    </row>
    <row r="48" ht="15.75" customHeight="1">
      <c r="E48" s="11" t="str">
        <f>Lists!G49</f>
        <v>CUST046</v>
      </c>
      <c r="F48" s="11" t="str">
        <f>Lists!H49</f>
        <v>Kathleen Bennett</v>
      </c>
      <c r="G48" s="16">
        <f>MINIFS(tx_Date,tx_CustID,$E48)</f>
        <v>45400</v>
      </c>
      <c r="H48" s="16">
        <f>MAXIFS(tx_Date,tx_CustID,$E48)</f>
        <v>45588</v>
      </c>
      <c r="I48" s="16">
        <f>MINIFS(tx_Since,tx_CustID,$E48)</f>
        <v>44458</v>
      </c>
      <c r="J48" s="17">
        <f t="shared" si="1"/>
        <v>5</v>
      </c>
      <c r="K48" s="17">
        <f t="shared" si="2"/>
        <v>0</v>
      </c>
      <c r="L48" s="18">
        <f t="shared" si="3"/>
        <v>707</v>
      </c>
      <c r="M48" s="19" t="str">
        <f t="shared" si="4"/>
        <v>5y 0m</v>
      </c>
    </row>
    <row r="49" ht="15.75" customHeight="1">
      <c r="E49" s="11" t="str">
        <f>Lists!G50</f>
        <v>CUST047</v>
      </c>
      <c r="F49" s="11" t="str">
        <f>Lists!H50</f>
        <v>Gerald Murphy</v>
      </c>
      <c r="G49" s="16">
        <f>MINIFS(tx_Date,tx_CustID,$E49)</f>
        <v>45490</v>
      </c>
      <c r="H49" s="16">
        <f>MAXIFS(tx_Date,tx_CustID,$E49)</f>
        <v>45532</v>
      </c>
      <c r="I49" s="16">
        <f>MINIFS(tx_Since,tx_CustID,$E49)</f>
        <v>44497</v>
      </c>
      <c r="J49" s="17">
        <f t="shared" si="1"/>
        <v>4</v>
      </c>
      <c r="K49" s="17">
        <f t="shared" si="2"/>
        <v>11</v>
      </c>
      <c r="L49" s="18">
        <f t="shared" si="3"/>
        <v>763</v>
      </c>
      <c r="M49" s="19" t="str">
        <f t="shared" si="4"/>
        <v>4y 11m</v>
      </c>
    </row>
    <row r="50" ht="15.75" customHeight="1">
      <c r="E50" s="11" t="str">
        <f>Lists!G51</f>
        <v>CUST048</v>
      </c>
      <c r="F50" s="11" t="str">
        <f>Lists!H51</f>
        <v>Virginia Sanders</v>
      </c>
      <c r="G50" s="16">
        <f>MINIFS(tx_Date,tx_CustID,$E50)</f>
        <v>45410</v>
      </c>
      <c r="H50" s="16">
        <f>MAXIFS(tx_Date,tx_CustID,$E50)</f>
        <v>45755</v>
      </c>
      <c r="I50" s="16">
        <f>MINIFS(tx_Since,tx_CustID,$E50)</f>
        <v>44511</v>
      </c>
      <c r="J50" s="17">
        <f t="shared" si="1"/>
        <v>4</v>
      </c>
      <c r="K50" s="17">
        <f t="shared" si="2"/>
        <v>10</v>
      </c>
      <c r="L50" s="18">
        <f t="shared" si="3"/>
        <v>540</v>
      </c>
      <c r="M50" s="19" t="str">
        <f t="shared" si="4"/>
        <v>4y 10m</v>
      </c>
    </row>
    <row r="51" ht="15.75" customHeight="1">
      <c r="E51" s="11" t="str">
        <f>Lists!G52</f>
        <v>CUST049</v>
      </c>
      <c r="F51" s="11" t="str">
        <f>Lists!H52</f>
        <v>Raymond Ross</v>
      </c>
      <c r="G51" s="16">
        <f>MINIFS(tx_Date,tx_CustID,$E51)</f>
        <v>45468</v>
      </c>
      <c r="H51" s="16">
        <f>MAXIFS(tx_Date,tx_CustID,$E51)</f>
        <v>45592</v>
      </c>
      <c r="I51" s="16">
        <f>MINIFS(tx_Since,tx_CustID,$E51)</f>
        <v>44509</v>
      </c>
      <c r="J51" s="17">
        <f t="shared" si="1"/>
        <v>4</v>
      </c>
      <c r="K51" s="17">
        <f t="shared" si="2"/>
        <v>10</v>
      </c>
      <c r="L51" s="18">
        <f t="shared" si="3"/>
        <v>703</v>
      </c>
      <c r="M51" s="19" t="str">
        <f t="shared" si="4"/>
        <v>4y 10m</v>
      </c>
    </row>
    <row r="52" ht="15.75" customHeight="1">
      <c r="E52" s="11" t="str">
        <f>Lists!G53</f>
        <v>CUST050</v>
      </c>
      <c r="F52" s="11" t="str">
        <f>Lists!H53</f>
        <v>Julie Foster</v>
      </c>
      <c r="G52" s="16">
        <f>MINIFS(tx_Date,tx_CustID,$E52)</f>
        <v>45452</v>
      </c>
      <c r="H52" s="16">
        <f>MAXIFS(tx_Date,tx_CustID,$E52)</f>
        <v>45452</v>
      </c>
      <c r="I52" s="16">
        <f>MINIFS(tx_Since,tx_CustID,$E52)</f>
        <v>44435</v>
      </c>
      <c r="J52" s="17">
        <f t="shared" si="1"/>
        <v>5</v>
      </c>
      <c r="K52" s="17">
        <f t="shared" si="2"/>
        <v>1</v>
      </c>
      <c r="L52" s="18">
        <f t="shared" si="3"/>
        <v>843</v>
      </c>
      <c r="M52" s="19" t="str">
        <f t="shared" si="4"/>
        <v>5y 1m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0.57"/>
    <col customWidth="1" min="2" max="2" width="20.0"/>
    <col customWidth="1" min="3" max="3" width="13.0"/>
    <col customWidth="1" min="4" max="4" width="23.0"/>
    <col customWidth="1" min="5" max="5" width="12.0"/>
    <col customWidth="1" min="6" max="7" width="14.0"/>
    <col customWidth="1" min="8" max="8" width="7.0"/>
    <col customWidth="1" min="9" max="9" width="12.0"/>
    <col customWidth="1" min="10" max="10" width="10.0"/>
    <col customWidth="1" min="11" max="11" width="12.0"/>
    <col customWidth="1" min="12" max="12" width="13.0"/>
    <col customWidth="1" min="13" max="13" width="3.0"/>
    <col customWidth="1" min="14" max="14" width="7.0"/>
    <col customWidth="1" min="15" max="15" width="20.0"/>
    <col customWidth="1" min="16" max="16" width="13.0"/>
    <col customWidth="1" min="17" max="17" width="10.0"/>
    <col customWidth="1" min="18" max="18" width="13.0"/>
    <col customWidth="1" min="19" max="19" width="12.0"/>
    <col customWidth="1" min="20" max="26" width="8.71"/>
  </cols>
  <sheetData>
    <row r="1">
      <c r="A1" s="1"/>
    </row>
    <row r="2">
      <c r="A2" s="23"/>
    </row>
    <row r="3">
      <c r="A3" s="24" t="s">
        <v>303</v>
      </c>
      <c r="B3" s="25">
        <v>0.8</v>
      </c>
      <c r="D3" s="24" t="s">
        <v>307</v>
      </c>
      <c r="E3" s="26">
        <f t="shared" ref="E3:E4" si="1">PERCENTILE($E$8:$E$57,B3)</f>
        <v>6557.8</v>
      </c>
      <c r="G3" s="23"/>
    </row>
    <row r="4">
      <c r="A4" s="24" t="s">
        <v>310</v>
      </c>
      <c r="B4" s="25">
        <v>0.5</v>
      </c>
      <c r="D4" s="24" t="s">
        <v>311</v>
      </c>
      <c r="E4" s="26">
        <f t="shared" si="1"/>
        <v>4254.875</v>
      </c>
    </row>
    <row r="6">
      <c r="N6" s="27" t="s">
        <v>313</v>
      </c>
    </row>
    <row r="7">
      <c r="A7" s="3" t="s">
        <v>7</v>
      </c>
      <c r="B7" s="3" t="s">
        <v>8</v>
      </c>
      <c r="C7" s="3" t="s">
        <v>315</v>
      </c>
      <c r="D7" s="3" t="s">
        <v>316</v>
      </c>
      <c r="E7" s="3" t="s">
        <v>317</v>
      </c>
      <c r="F7" s="3" t="s">
        <v>318</v>
      </c>
      <c r="G7" s="3" t="s">
        <v>319</v>
      </c>
      <c r="H7" s="3" t="s">
        <v>320</v>
      </c>
      <c r="I7" s="3" t="s">
        <v>321</v>
      </c>
      <c r="J7" s="3" t="s">
        <v>322</v>
      </c>
      <c r="K7" s="3" t="s">
        <v>323</v>
      </c>
      <c r="L7" s="3" t="s">
        <v>25</v>
      </c>
      <c r="N7" s="3" t="s">
        <v>320</v>
      </c>
      <c r="O7" s="3" t="s">
        <v>324</v>
      </c>
      <c r="P7" s="3" t="s">
        <v>317</v>
      </c>
      <c r="Q7" s="3" t="s">
        <v>325</v>
      </c>
      <c r="R7" s="3" t="s">
        <v>315</v>
      </c>
      <c r="S7" s="3" t="s">
        <v>321</v>
      </c>
    </row>
    <row r="8">
      <c r="A8" s="11" t="str">
        <f>Lists!G4</f>
        <v>CUST001</v>
      </c>
      <c r="B8" s="11" t="str">
        <f>Lists!H4</f>
        <v>John Smith</v>
      </c>
      <c r="C8" s="18">
        <f>COUNTIF(tx_CustID,$A8)</f>
        <v>1</v>
      </c>
      <c r="D8" s="18">
        <f>SUMIF(tx_CustID,$A8,tx_Qty)</f>
        <v>4</v>
      </c>
      <c r="E8" s="28">
        <f>SUMIF(tx_CustID,$A8,tx_Total)</f>
        <v>599.96</v>
      </c>
      <c r="F8" s="28">
        <f t="shared" ref="F8:F57" si="2">IF(C8=0,0,E8/C8)</f>
        <v>599.96</v>
      </c>
      <c r="G8" s="29">
        <f t="shared" ref="G8:G57" si="3">E8/$E$58</f>
        <v>0.002617712528</v>
      </c>
      <c r="H8" s="17">
        <f t="shared" ref="H8:H57" si="4">RANK(E8,$E$8:$E$57,0)+COUNTIF($E$8:E8,E8)-1</f>
        <v>47</v>
      </c>
      <c r="I8" s="19" t="str">
        <f t="shared" ref="I8:I57" si="5">IF(E8&gt;=$E$3,"High-Value",IF(E8&gt;=$E$4,"Mid-Value","Low-Value"))</f>
        <v>Low-Value</v>
      </c>
      <c r="J8" s="19" t="str">
        <f t="shared" ref="J8:J57" si="6">IF(C8&gt;1,"Repeat","One-time")</f>
        <v>One-time</v>
      </c>
      <c r="K8" s="30">
        <f>COUNTIF(tx_CustName,$B8)</f>
        <v>1</v>
      </c>
      <c r="L8" s="16">
        <f>MAXIFS(tx_Date,tx_CustID,$A8)</f>
        <v>45740</v>
      </c>
      <c r="N8" s="17">
        <v>1.0</v>
      </c>
      <c r="O8" s="11" t="str">
        <f t="shared" ref="O8:O17" si="7">INDEX($B$8:$B$57,MATCH($N8,$H$8:$H$57,0))</f>
        <v>Mark Carter</v>
      </c>
      <c r="P8" s="28">
        <f t="shared" ref="P8:P17" si="8">INDEX($E$8:$E$57,MATCH($N8,$H$8:$H$57,0))</f>
        <v>15659.65</v>
      </c>
      <c r="Q8" s="29">
        <f t="shared" ref="Q8:Q17" si="9">P8/$E$58</f>
        <v>0.068325325</v>
      </c>
      <c r="R8" s="18">
        <f t="shared" ref="R8:R17" si="10">INDEX($C$8:$C$57,MATCH($N8,$H$8:$H$57,0))</f>
        <v>12</v>
      </c>
      <c r="S8" s="19" t="str">
        <f t="shared" ref="S8:S17" si="11">INDEX($I$8:$I$57,MATCH($N8,$H$8:$H$57,0))</f>
        <v>High-Value</v>
      </c>
    </row>
    <row r="9">
      <c r="A9" s="11" t="str">
        <f>Lists!G5</f>
        <v>CUST002</v>
      </c>
      <c r="B9" s="11" t="str">
        <f>Lists!H5</f>
        <v>Emma Wilson</v>
      </c>
      <c r="C9" s="18">
        <f>COUNTIF(tx_CustID,$A9)</f>
        <v>5</v>
      </c>
      <c r="D9" s="18">
        <f>SUMIF(tx_CustID,$A9,tx_Qty)</f>
        <v>12</v>
      </c>
      <c r="E9" s="28">
        <f>SUMIF(tx_CustID,$A9,tx_Total)</f>
        <v>1229.88</v>
      </c>
      <c r="F9" s="28">
        <f t="shared" si="2"/>
        <v>245.976</v>
      </c>
      <c r="G9" s="29">
        <f t="shared" si="3"/>
        <v>0.005366144883</v>
      </c>
      <c r="H9" s="17">
        <f t="shared" si="4"/>
        <v>44</v>
      </c>
      <c r="I9" s="19" t="str">
        <f t="shared" si="5"/>
        <v>Low-Value</v>
      </c>
      <c r="J9" s="19" t="str">
        <f t="shared" si="6"/>
        <v>Repeat</v>
      </c>
      <c r="K9" s="30">
        <f>COUNTIF(tx_CustName,$B9)</f>
        <v>5</v>
      </c>
      <c r="L9" s="16">
        <f>MAXIFS(tx_Date,tx_CustID,$A9)</f>
        <v>45737</v>
      </c>
      <c r="N9" s="17">
        <v>2.0</v>
      </c>
      <c r="O9" s="11" t="str">
        <f t="shared" si="7"/>
        <v>Edward Mitchell</v>
      </c>
      <c r="P9" s="28">
        <f t="shared" si="8"/>
        <v>11919.77</v>
      </c>
      <c r="Q9" s="29">
        <f t="shared" si="9"/>
        <v>0.05200768594</v>
      </c>
      <c r="R9" s="18">
        <f t="shared" si="10"/>
        <v>6</v>
      </c>
      <c r="S9" s="19" t="str">
        <f t="shared" si="11"/>
        <v>High-Value</v>
      </c>
    </row>
    <row r="10">
      <c r="A10" s="11" t="str">
        <f>Lists!G6</f>
        <v>CUST003</v>
      </c>
      <c r="B10" s="11" t="str">
        <f>Lists!H6</f>
        <v>Michael Brown</v>
      </c>
      <c r="C10" s="18">
        <f>COUNTIF(tx_CustID,$A10)</f>
        <v>9</v>
      </c>
      <c r="D10" s="18">
        <f>SUMIF(tx_CustID,$A10,tx_Qty)</f>
        <v>26</v>
      </c>
      <c r="E10" s="28">
        <f>SUMIF(tx_CustID,$A10,tx_Total)</f>
        <v>6169.74</v>
      </c>
      <c r="F10" s="28">
        <f t="shared" si="2"/>
        <v>685.5266667</v>
      </c>
      <c r="G10" s="29">
        <f t="shared" si="3"/>
        <v>0.02691947078</v>
      </c>
      <c r="H10" s="17">
        <f t="shared" si="4"/>
        <v>14</v>
      </c>
      <c r="I10" s="19" t="str">
        <f t="shared" si="5"/>
        <v>Mid-Value</v>
      </c>
      <c r="J10" s="19" t="str">
        <f t="shared" si="6"/>
        <v>Repeat</v>
      </c>
      <c r="K10" s="30">
        <f>COUNTIF(tx_CustName,$B10)</f>
        <v>9</v>
      </c>
      <c r="L10" s="16">
        <f>MAXIFS(tx_Date,tx_CustID,$A10)</f>
        <v>45707</v>
      </c>
      <c r="N10" s="17">
        <v>3.0</v>
      </c>
      <c r="O10" s="11" t="str">
        <f t="shared" si="7"/>
        <v>Barbara Young</v>
      </c>
      <c r="P10" s="28">
        <f t="shared" si="8"/>
        <v>10649.8</v>
      </c>
      <c r="Q10" s="29">
        <f t="shared" si="9"/>
        <v>0.04646662257</v>
      </c>
      <c r="R10" s="18">
        <f t="shared" si="10"/>
        <v>5</v>
      </c>
      <c r="S10" s="19" t="str">
        <f t="shared" si="11"/>
        <v>High-Value</v>
      </c>
    </row>
    <row r="11">
      <c r="A11" s="11" t="str">
        <f>Lists!G7</f>
        <v>CUST004</v>
      </c>
      <c r="B11" s="11" t="str">
        <f>Lists!H7</f>
        <v>Sarah Davis</v>
      </c>
      <c r="C11" s="18">
        <f>COUNTIF(tx_CustID,$A11)</f>
        <v>5</v>
      </c>
      <c r="D11" s="18">
        <f>SUMIF(tx_CustID,$A11,tx_Qty)</f>
        <v>19</v>
      </c>
      <c r="E11" s="28">
        <f>SUMIF(tx_CustID,$A11,tx_Total)</f>
        <v>5499.81</v>
      </c>
      <c r="F11" s="28">
        <f t="shared" si="2"/>
        <v>1099.962</v>
      </c>
      <c r="G11" s="29">
        <f t="shared" si="3"/>
        <v>0.02399646899</v>
      </c>
      <c r="H11" s="17">
        <f t="shared" si="4"/>
        <v>19</v>
      </c>
      <c r="I11" s="19" t="str">
        <f t="shared" si="5"/>
        <v>Mid-Value</v>
      </c>
      <c r="J11" s="19" t="str">
        <f t="shared" si="6"/>
        <v>Repeat</v>
      </c>
      <c r="K11" s="30">
        <f>COUNTIF(tx_CustName,$B11)</f>
        <v>5</v>
      </c>
      <c r="L11" s="16">
        <f>MAXIFS(tx_Date,tx_CustID,$A11)</f>
        <v>45619</v>
      </c>
      <c r="N11" s="17">
        <v>4.0</v>
      </c>
      <c r="O11" s="11" t="str">
        <f t="shared" si="7"/>
        <v>Patricia Moore</v>
      </c>
      <c r="P11" s="28">
        <f t="shared" si="8"/>
        <v>9799.73</v>
      </c>
      <c r="Q11" s="29">
        <f t="shared" si="9"/>
        <v>0.04275764383</v>
      </c>
      <c r="R11" s="18">
        <f t="shared" si="10"/>
        <v>8</v>
      </c>
      <c r="S11" s="19" t="str">
        <f t="shared" si="11"/>
        <v>High-Value</v>
      </c>
    </row>
    <row r="12">
      <c r="A12" s="11" t="str">
        <f>Lists!G8</f>
        <v>CUST005</v>
      </c>
      <c r="B12" s="11" t="str">
        <f>Lists!H8</f>
        <v>James Johnson</v>
      </c>
      <c r="C12" s="18">
        <f>COUNTIF(tx_CustID,$A12)</f>
        <v>1</v>
      </c>
      <c r="D12" s="18">
        <f>SUMIF(tx_CustID,$A12,tx_Qty)</f>
        <v>3</v>
      </c>
      <c r="E12" s="28">
        <f>SUMIF(tx_CustID,$A12,tx_Total)</f>
        <v>179.97</v>
      </c>
      <c r="F12" s="28">
        <f t="shared" si="2"/>
        <v>179.97</v>
      </c>
      <c r="G12" s="29">
        <f t="shared" si="3"/>
        <v>0.0007852352217</v>
      </c>
      <c r="H12" s="17">
        <f t="shared" si="4"/>
        <v>50</v>
      </c>
      <c r="I12" s="19" t="str">
        <f t="shared" si="5"/>
        <v>Low-Value</v>
      </c>
      <c r="J12" s="19" t="str">
        <f t="shared" si="6"/>
        <v>One-time</v>
      </c>
      <c r="K12" s="30">
        <f>COUNTIF(tx_CustName,$B12)</f>
        <v>1</v>
      </c>
      <c r="L12" s="16">
        <f>MAXIFS(tx_Date,tx_CustID,$A12)</f>
        <v>45635</v>
      </c>
      <c r="N12" s="17">
        <v>5.0</v>
      </c>
      <c r="O12" s="11" t="str">
        <f t="shared" si="7"/>
        <v>Paul Baker</v>
      </c>
      <c r="P12" s="28">
        <f t="shared" si="8"/>
        <v>8309.74</v>
      </c>
      <c r="Q12" s="29">
        <f t="shared" si="9"/>
        <v>0.03625660127</v>
      </c>
      <c r="R12" s="18">
        <f t="shared" si="10"/>
        <v>8</v>
      </c>
      <c r="S12" s="19" t="str">
        <f t="shared" si="11"/>
        <v>High-Value</v>
      </c>
    </row>
    <row r="13">
      <c r="A13" s="11" t="str">
        <f>Lists!G9</f>
        <v>CUST006</v>
      </c>
      <c r="B13" s="11" t="str">
        <f>Lists!H9</f>
        <v>Lisa Anderson</v>
      </c>
      <c r="C13" s="18">
        <f>COUNTIF(tx_CustID,$A13)</f>
        <v>5</v>
      </c>
      <c r="D13" s="18">
        <f>SUMIF(tx_CustID,$A13,tx_Qty)</f>
        <v>20</v>
      </c>
      <c r="E13" s="28">
        <f>SUMIF(tx_CustID,$A13,tx_Total)</f>
        <v>2039.8</v>
      </c>
      <c r="F13" s="28">
        <f t="shared" si="2"/>
        <v>407.96</v>
      </c>
      <c r="G13" s="29">
        <f t="shared" si="3"/>
        <v>0.008899943353</v>
      </c>
      <c r="H13" s="17">
        <f t="shared" si="4"/>
        <v>36</v>
      </c>
      <c r="I13" s="19" t="str">
        <f t="shared" si="5"/>
        <v>Low-Value</v>
      </c>
      <c r="J13" s="19" t="str">
        <f t="shared" si="6"/>
        <v>Repeat</v>
      </c>
      <c r="K13" s="30">
        <f>COUNTIF(tx_CustName,$B13)</f>
        <v>5</v>
      </c>
      <c r="L13" s="16">
        <f>MAXIFS(tx_Date,tx_CustID,$A13)</f>
        <v>45676</v>
      </c>
      <c r="N13" s="17">
        <v>6.0</v>
      </c>
      <c r="O13" s="11" t="str">
        <f t="shared" si="7"/>
        <v>Dorothy Nelson</v>
      </c>
      <c r="P13" s="28">
        <f t="shared" si="8"/>
        <v>8269.79</v>
      </c>
      <c r="Q13" s="29">
        <f t="shared" si="9"/>
        <v>0.03608229363</v>
      </c>
      <c r="R13" s="18">
        <f t="shared" si="10"/>
        <v>6</v>
      </c>
      <c r="S13" s="19" t="str">
        <f t="shared" si="11"/>
        <v>High-Value</v>
      </c>
    </row>
    <row r="14">
      <c r="A14" s="11" t="str">
        <f>Lists!G10</f>
        <v>CUST007</v>
      </c>
      <c r="B14" s="11" t="str">
        <f>Lists!H10</f>
        <v>David Martinez</v>
      </c>
      <c r="C14" s="18">
        <f>COUNTIF(tx_CustID,$A14)</f>
        <v>6</v>
      </c>
      <c r="D14" s="18">
        <f>SUMIF(tx_CustID,$A14,tx_Qty)</f>
        <v>16</v>
      </c>
      <c r="E14" s="28">
        <f>SUMIF(tx_CustID,$A14,tx_Total)</f>
        <v>1809.84</v>
      </c>
      <c r="F14" s="28">
        <f t="shared" si="2"/>
        <v>301.64</v>
      </c>
      <c r="G14" s="29">
        <f t="shared" si="3"/>
        <v>0.007896594509</v>
      </c>
      <c r="H14" s="17">
        <f t="shared" si="4"/>
        <v>39</v>
      </c>
      <c r="I14" s="19" t="str">
        <f t="shared" si="5"/>
        <v>Low-Value</v>
      </c>
      <c r="J14" s="19" t="str">
        <f t="shared" si="6"/>
        <v>Repeat</v>
      </c>
      <c r="K14" s="30">
        <f>COUNTIF(tx_CustName,$B14)</f>
        <v>6</v>
      </c>
      <c r="L14" s="16">
        <f>MAXIFS(tx_Date,tx_CustID,$A14)</f>
        <v>45648</v>
      </c>
      <c r="N14" s="17">
        <v>7.0</v>
      </c>
      <c r="O14" s="11" t="str">
        <f t="shared" si="7"/>
        <v>Karen Hill</v>
      </c>
      <c r="P14" s="28">
        <f t="shared" si="8"/>
        <v>8009.77</v>
      </c>
      <c r="Q14" s="29">
        <f t="shared" si="9"/>
        <v>0.03494778864</v>
      </c>
      <c r="R14" s="18">
        <f t="shared" si="10"/>
        <v>8</v>
      </c>
      <c r="S14" s="19" t="str">
        <f t="shared" si="11"/>
        <v>High-Value</v>
      </c>
    </row>
    <row r="15">
      <c r="A15" s="11" t="str">
        <f>Lists!G11</f>
        <v>CUST008</v>
      </c>
      <c r="B15" s="11" t="str">
        <f>Lists!H11</f>
        <v>Jennifer Taylor</v>
      </c>
      <c r="C15" s="18">
        <f>COUNTIF(tx_CustID,$A15)</f>
        <v>4</v>
      </c>
      <c r="D15" s="18">
        <f>SUMIF(tx_CustID,$A15,tx_Qty)</f>
        <v>15</v>
      </c>
      <c r="E15" s="28">
        <f>SUMIF(tx_CustID,$A15,tx_Total)</f>
        <v>4739.85</v>
      </c>
      <c r="F15" s="28">
        <f t="shared" si="2"/>
        <v>1184.9625</v>
      </c>
      <c r="G15" s="29">
        <f t="shared" si="3"/>
        <v>0.02068065325</v>
      </c>
      <c r="H15" s="17">
        <f t="shared" si="4"/>
        <v>24</v>
      </c>
      <c r="I15" s="19" t="str">
        <f t="shared" si="5"/>
        <v>Mid-Value</v>
      </c>
      <c r="J15" s="19" t="str">
        <f t="shared" si="6"/>
        <v>Repeat</v>
      </c>
      <c r="K15" s="30">
        <f>COUNTIF(tx_CustName,$B15)</f>
        <v>4</v>
      </c>
      <c r="L15" s="16">
        <f>MAXIFS(tx_Date,tx_CustID,$A15)</f>
        <v>45635</v>
      </c>
      <c r="N15" s="17">
        <v>8.0</v>
      </c>
      <c r="O15" s="11" t="str">
        <f t="shared" si="7"/>
        <v>Daniel King</v>
      </c>
      <c r="P15" s="28">
        <f t="shared" si="8"/>
        <v>7309.8</v>
      </c>
      <c r="Q15" s="29">
        <f t="shared" si="9"/>
        <v>0.03189371797</v>
      </c>
      <c r="R15" s="18">
        <f t="shared" si="10"/>
        <v>7</v>
      </c>
      <c r="S15" s="19" t="str">
        <f t="shared" si="11"/>
        <v>High-Value</v>
      </c>
    </row>
    <row r="16">
      <c r="A16" s="11" t="str">
        <f>Lists!G12</f>
        <v>CUST009</v>
      </c>
      <c r="B16" s="11" t="str">
        <f>Lists!H12</f>
        <v>Robert Thomas</v>
      </c>
      <c r="C16" s="18">
        <f>COUNTIF(tx_CustID,$A16)</f>
        <v>5</v>
      </c>
      <c r="D16" s="18">
        <f>SUMIF(tx_CustID,$A16,tx_Qty)</f>
        <v>10</v>
      </c>
      <c r="E16" s="28">
        <f>SUMIF(tx_CustID,$A16,tx_Total)</f>
        <v>3509.9</v>
      </c>
      <c r="F16" s="28">
        <f t="shared" si="2"/>
        <v>701.98</v>
      </c>
      <c r="G16" s="29">
        <f t="shared" si="3"/>
        <v>0.01531420295</v>
      </c>
      <c r="H16" s="17">
        <f t="shared" si="4"/>
        <v>32</v>
      </c>
      <c r="I16" s="19" t="str">
        <f t="shared" si="5"/>
        <v>Low-Value</v>
      </c>
      <c r="J16" s="19" t="str">
        <f t="shared" si="6"/>
        <v>Repeat</v>
      </c>
      <c r="K16" s="30">
        <f>COUNTIF(tx_CustName,$B16)</f>
        <v>5</v>
      </c>
      <c r="L16" s="16">
        <f>MAXIFS(tx_Date,tx_CustID,$A16)</f>
        <v>45756</v>
      </c>
      <c r="N16" s="17">
        <v>9.0</v>
      </c>
      <c r="O16" s="11" t="str">
        <f t="shared" si="7"/>
        <v>Lawrence Reed</v>
      </c>
      <c r="P16" s="28">
        <f t="shared" si="8"/>
        <v>6989.77</v>
      </c>
      <c r="Q16" s="29">
        <f t="shared" si="9"/>
        <v>0.03049738065</v>
      </c>
      <c r="R16" s="18">
        <f t="shared" si="10"/>
        <v>8</v>
      </c>
      <c r="S16" s="19" t="str">
        <f t="shared" si="11"/>
        <v>High-Value</v>
      </c>
    </row>
    <row r="17">
      <c r="A17" s="11" t="str">
        <f>Lists!G13</f>
        <v>CUST010</v>
      </c>
      <c r="B17" s="11" t="str">
        <f>Lists!H13</f>
        <v>Maria Garcia</v>
      </c>
      <c r="C17" s="18">
        <f>COUNTIF(tx_CustID,$A17)</f>
        <v>4</v>
      </c>
      <c r="D17" s="18">
        <f>SUMIF(tx_CustID,$A17,tx_Qty)</f>
        <v>7</v>
      </c>
      <c r="E17" s="28">
        <f>SUMIF(tx_CustID,$A17,tx_Total)</f>
        <v>1909.93</v>
      </c>
      <c r="F17" s="28">
        <f t="shared" si="2"/>
        <v>477.4825</v>
      </c>
      <c r="G17" s="29">
        <f t="shared" si="3"/>
        <v>0.008333301701</v>
      </c>
      <c r="H17" s="17">
        <f t="shared" si="4"/>
        <v>38</v>
      </c>
      <c r="I17" s="19" t="str">
        <f t="shared" si="5"/>
        <v>Low-Value</v>
      </c>
      <c r="J17" s="19" t="str">
        <f t="shared" si="6"/>
        <v>Repeat</v>
      </c>
      <c r="K17" s="30">
        <f>COUNTIF(tx_CustName,$B17)</f>
        <v>4</v>
      </c>
      <c r="L17" s="16">
        <f>MAXIFS(tx_Date,tx_CustID,$A17)</f>
        <v>45604</v>
      </c>
      <c r="N17" s="17">
        <v>10.0</v>
      </c>
      <c r="O17" s="11" t="str">
        <f t="shared" si="7"/>
        <v>Joseph Jackson</v>
      </c>
      <c r="P17" s="28">
        <f t="shared" si="8"/>
        <v>6949.84</v>
      </c>
      <c r="Q17" s="29">
        <f t="shared" si="9"/>
        <v>0.03032316027</v>
      </c>
      <c r="R17" s="18">
        <f t="shared" si="10"/>
        <v>5</v>
      </c>
      <c r="S17" s="19" t="str">
        <f t="shared" si="11"/>
        <v>High-Value</v>
      </c>
    </row>
    <row r="18">
      <c r="A18" s="11" t="str">
        <f>Lists!G14</f>
        <v>CUST011</v>
      </c>
      <c r="B18" s="11" t="str">
        <f>Lists!H14</f>
        <v>William White</v>
      </c>
      <c r="C18" s="18">
        <f>COUNTIF(tx_CustID,$A18)</f>
        <v>3</v>
      </c>
      <c r="D18" s="18">
        <f>SUMIF(tx_CustID,$A18,tx_Qty)</f>
        <v>9</v>
      </c>
      <c r="E18" s="28">
        <f>SUMIF(tx_CustID,$A18,tx_Total)</f>
        <v>4749.91</v>
      </c>
      <c r="F18" s="28">
        <f t="shared" si="2"/>
        <v>1583.303333</v>
      </c>
      <c r="G18" s="29">
        <f t="shared" si="3"/>
        <v>0.02072454649</v>
      </c>
      <c r="H18" s="17">
        <f t="shared" si="4"/>
        <v>23</v>
      </c>
      <c r="I18" s="19" t="str">
        <f t="shared" si="5"/>
        <v>Mid-Value</v>
      </c>
      <c r="J18" s="19" t="str">
        <f t="shared" si="6"/>
        <v>Repeat</v>
      </c>
      <c r="K18" s="30">
        <f>COUNTIF(tx_CustName,$B18)</f>
        <v>3</v>
      </c>
      <c r="L18" s="16">
        <f>MAXIFS(tx_Date,tx_CustID,$A18)</f>
        <v>45686</v>
      </c>
      <c r="O18" s="31" t="s">
        <v>441</v>
      </c>
      <c r="P18" s="32">
        <f t="shared" ref="P18:Q18" si="12">SUM(P8:P17)</f>
        <v>93867.66</v>
      </c>
      <c r="Q18" s="33">
        <f t="shared" si="12"/>
        <v>0.4095582198</v>
      </c>
    </row>
    <row r="19">
      <c r="A19" s="11" t="str">
        <f>Lists!G15</f>
        <v>CUST012</v>
      </c>
      <c r="B19" s="11" t="str">
        <f>Lists!H15</f>
        <v>Patricia Moore</v>
      </c>
      <c r="C19" s="18">
        <f>COUNTIF(tx_CustID,$A19)</f>
        <v>8</v>
      </c>
      <c r="D19" s="18">
        <f>SUMIF(tx_CustID,$A19,tx_Qty)</f>
        <v>27</v>
      </c>
      <c r="E19" s="28">
        <f>SUMIF(tx_CustID,$A19,tx_Total)</f>
        <v>9799.73</v>
      </c>
      <c r="F19" s="28">
        <f t="shared" si="2"/>
        <v>1224.96625</v>
      </c>
      <c r="G19" s="29">
        <f t="shared" si="3"/>
        <v>0.04275764383</v>
      </c>
      <c r="H19" s="17">
        <f t="shared" si="4"/>
        <v>4</v>
      </c>
      <c r="I19" s="19" t="str">
        <f t="shared" si="5"/>
        <v>High-Value</v>
      </c>
      <c r="J19" s="19" t="str">
        <f t="shared" si="6"/>
        <v>Repeat</v>
      </c>
      <c r="K19" s="30">
        <f>COUNTIF(tx_CustName,$B19)</f>
        <v>8</v>
      </c>
      <c r="L19" s="16">
        <f>MAXIFS(tx_Date,tx_CustID,$A19)</f>
        <v>45607</v>
      </c>
    </row>
    <row r="20">
      <c r="A20" s="11" t="str">
        <f>Lists!G16</f>
        <v>CUST013</v>
      </c>
      <c r="B20" s="11" t="str">
        <f>Lists!H16</f>
        <v>Joseph Jackson</v>
      </c>
      <c r="C20" s="18">
        <f>COUNTIF(tx_CustID,$A20)</f>
        <v>5</v>
      </c>
      <c r="D20" s="18">
        <f>SUMIF(tx_CustID,$A20,tx_Qty)</f>
        <v>16</v>
      </c>
      <c r="E20" s="28">
        <f>SUMIF(tx_CustID,$A20,tx_Total)</f>
        <v>6949.84</v>
      </c>
      <c r="F20" s="28">
        <f t="shared" si="2"/>
        <v>1389.968</v>
      </c>
      <c r="G20" s="29">
        <f t="shared" si="3"/>
        <v>0.03032316027</v>
      </c>
      <c r="H20" s="17">
        <f t="shared" si="4"/>
        <v>10</v>
      </c>
      <c r="I20" s="19" t="str">
        <f t="shared" si="5"/>
        <v>High-Value</v>
      </c>
      <c r="J20" s="19" t="str">
        <f t="shared" si="6"/>
        <v>Repeat</v>
      </c>
      <c r="K20" s="30">
        <f>COUNTIF(tx_CustName,$B20)</f>
        <v>5</v>
      </c>
      <c r="L20" s="16">
        <f>MAXIFS(tx_Date,tx_CustID,$A20)</f>
        <v>45627</v>
      </c>
    </row>
    <row r="21" ht="15.75" customHeight="1">
      <c r="A21" s="11" t="str">
        <f>Lists!G17</f>
        <v>CUST014</v>
      </c>
      <c r="B21" s="11" t="str">
        <f>Lists!H17</f>
        <v>Linda Martin</v>
      </c>
      <c r="C21" s="18">
        <f>COUNTIF(tx_CustID,$A21)</f>
        <v>4</v>
      </c>
      <c r="D21" s="18">
        <f>SUMIF(tx_CustID,$A21,tx_Qty)</f>
        <v>10</v>
      </c>
      <c r="E21" s="28">
        <f>SUMIF(tx_CustID,$A21,tx_Total)</f>
        <v>1289.9</v>
      </c>
      <c r="F21" s="28">
        <f t="shared" si="2"/>
        <v>322.475</v>
      </c>
      <c r="G21" s="29">
        <f t="shared" si="3"/>
        <v>0.005628020851</v>
      </c>
      <c r="H21" s="17">
        <f t="shared" si="4"/>
        <v>43</v>
      </c>
      <c r="I21" s="19" t="str">
        <f t="shared" si="5"/>
        <v>Low-Value</v>
      </c>
      <c r="J21" s="19" t="str">
        <f t="shared" si="6"/>
        <v>Repeat</v>
      </c>
      <c r="K21" s="30">
        <f>COUNTIF(tx_CustName,$B21)</f>
        <v>4</v>
      </c>
      <c r="L21" s="16">
        <f>MAXIFS(tx_Date,tx_CustID,$A21)</f>
        <v>45648</v>
      </c>
      <c r="N21" s="34" t="s">
        <v>451</v>
      </c>
      <c r="O21" s="35"/>
      <c r="P21" s="36"/>
      <c r="Q21" s="37">
        <f>COUNTIF(J8:J57,"Repeat")</f>
        <v>47</v>
      </c>
      <c r="R21" s="36"/>
    </row>
    <row r="22" ht="15.75" customHeight="1">
      <c r="A22" s="11" t="str">
        <f>Lists!G18</f>
        <v>CUST015</v>
      </c>
      <c r="B22" s="11" t="str">
        <f>Lists!H18</f>
        <v>Richard Lee</v>
      </c>
      <c r="C22" s="18">
        <f>COUNTIF(tx_CustID,$A22)</f>
        <v>3</v>
      </c>
      <c r="D22" s="18">
        <f>SUMIF(tx_CustID,$A22,tx_Qty)</f>
        <v>7</v>
      </c>
      <c r="E22" s="28">
        <f>SUMIF(tx_CustID,$A22,tx_Total)</f>
        <v>739.93</v>
      </c>
      <c r="F22" s="28">
        <f t="shared" si="2"/>
        <v>246.6433333</v>
      </c>
      <c r="G22" s="29">
        <f t="shared" si="3"/>
        <v>0.003228421946</v>
      </c>
      <c r="H22" s="17">
        <f t="shared" si="4"/>
        <v>46</v>
      </c>
      <c r="I22" s="19" t="str">
        <f t="shared" si="5"/>
        <v>Low-Value</v>
      </c>
      <c r="J22" s="19" t="str">
        <f t="shared" si="6"/>
        <v>Repeat</v>
      </c>
      <c r="K22" s="30">
        <f>COUNTIF(tx_CustName,$B22)</f>
        <v>3</v>
      </c>
      <c r="L22" s="16">
        <f>MAXIFS(tx_Date,tx_CustID,$A22)</f>
        <v>45715</v>
      </c>
      <c r="N22" s="38" t="s">
        <v>460</v>
      </c>
      <c r="O22" s="35"/>
      <c r="P22" s="36"/>
      <c r="Q22" s="39">
        <f>E58/COUNTIF(C8:C57,"&gt;0")</f>
        <v>4583.8494</v>
      </c>
      <c r="R22" s="36"/>
    </row>
    <row r="23" ht="15.75" customHeight="1">
      <c r="A23" s="11" t="str">
        <f>Lists!G19</f>
        <v>CUST016</v>
      </c>
      <c r="B23" s="11" t="str">
        <f>Lists!H19</f>
        <v>Elizabeth Hall</v>
      </c>
      <c r="C23" s="18">
        <f>COUNTIF(tx_CustID,$A23)</f>
        <v>4</v>
      </c>
      <c r="D23" s="18">
        <f>SUMIF(tx_CustID,$A23,tx_Qty)</f>
        <v>14</v>
      </c>
      <c r="E23" s="28">
        <f>SUMIF(tx_CustID,$A23,tx_Total)</f>
        <v>3649.86</v>
      </c>
      <c r="F23" s="28">
        <f t="shared" si="2"/>
        <v>912.465</v>
      </c>
      <c r="G23" s="29">
        <f t="shared" si="3"/>
        <v>0.01592486874</v>
      </c>
      <c r="H23" s="17">
        <f t="shared" si="4"/>
        <v>31</v>
      </c>
      <c r="I23" s="19" t="str">
        <f t="shared" si="5"/>
        <v>Low-Value</v>
      </c>
      <c r="J23" s="19" t="str">
        <f t="shared" si="6"/>
        <v>Repeat</v>
      </c>
      <c r="K23" s="30">
        <f>COUNTIF(tx_CustName,$B23)</f>
        <v>4</v>
      </c>
      <c r="L23" s="16">
        <f>MAXIFS(tx_Date,tx_CustID,$A23)</f>
        <v>45711</v>
      </c>
    </row>
    <row r="24" ht="15.75" customHeight="1">
      <c r="A24" s="11" t="str">
        <f>Lists!G20</f>
        <v>CUST017</v>
      </c>
      <c r="B24" s="11" t="str">
        <f>Lists!H20</f>
        <v>Charles Allen</v>
      </c>
      <c r="C24" s="18">
        <f>COUNTIF(tx_CustID,$A24)</f>
        <v>9</v>
      </c>
      <c r="D24" s="18">
        <f>SUMIF(tx_CustID,$A24,tx_Qty)</f>
        <v>27</v>
      </c>
      <c r="E24" s="28">
        <f>SUMIF(tx_CustID,$A24,tx_Total)</f>
        <v>5089.73</v>
      </c>
      <c r="F24" s="28">
        <f t="shared" si="2"/>
        <v>565.5255556</v>
      </c>
      <c r="G24" s="29">
        <f t="shared" si="3"/>
        <v>0.02220723046</v>
      </c>
      <c r="H24" s="17">
        <f t="shared" si="4"/>
        <v>20</v>
      </c>
      <c r="I24" s="19" t="str">
        <f t="shared" si="5"/>
        <v>Mid-Value</v>
      </c>
      <c r="J24" s="19" t="str">
        <f t="shared" si="6"/>
        <v>Repeat</v>
      </c>
      <c r="K24" s="30">
        <f>COUNTIF(tx_CustName,$B24)</f>
        <v>9</v>
      </c>
      <c r="L24" s="16">
        <f>MAXIFS(tx_Date,tx_CustID,$A24)</f>
        <v>45724</v>
      </c>
    </row>
    <row r="25" ht="15.75" customHeight="1">
      <c r="A25" s="11" t="str">
        <f>Lists!G21</f>
        <v>CUST018</v>
      </c>
      <c r="B25" s="11" t="str">
        <f>Lists!H21</f>
        <v>Barbara Young</v>
      </c>
      <c r="C25" s="18">
        <f>COUNTIF(tx_CustID,$A25)</f>
        <v>5</v>
      </c>
      <c r="D25" s="18">
        <f>SUMIF(tx_CustID,$A25,tx_Qty)</f>
        <v>20</v>
      </c>
      <c r="E25" s="28">
        <f>SUMIF(tx_CustID,$A25,tx_Total)</f>
        <v>10649.8</v>
      </c>
      <c r="F25" s="28">
        <f t="shared" si="2"/>
        <v>2129.96</v>
      </c>
      <c r="G25" s="29">
        <f t="shared" si="3"/>
        <v>0.04646662257</v>
      </c>
      <c r="H25" s="17">
        <f t="shared" si="4"/>
        <v>3</v>
      </c>
      <c r="I25" s="19" t="str">
        <f t="shared" si="5"/>
        <v>High-Value</v>
      </c>
      <c r="J25" s="19" t="str">
        <f t="shared" si="6"/>
        <v>Repeat</v>
      </c>
      <c r="K25" s="30">
        <f>COUNTIF(tx_CustName,$B25)</f>
        <v>5</v>
      </c>
      <c r="L25" s="16">
        <f>MAXIFS(tx_Date,tx_CustID,$A25)</f>
        <v>45708</v>
      </c>
    </row>
    <row r="26" ht="15.75" customHeight="1">
      <c r="A26" s="11" t="str">
        <f>Lists!G22</f>
        <v>CUST019</v>
      </c>
      <c r="B26" s="11" t="str">
        <f>Lists!H22</f>
        <v>Daniel King</v>
      </c>
      <c r="C26" s="18">
        <f>COUNTIF(tx_CustID,$A26)</f>
        <v>7</v>
      </c>
      <c r="D26" s="18">
        <f>SUMIF(tx_CustID,$A26,tx_Qty)</f>
        <v>20</v>
      </c>
      <c r="E26" s="28">
        <f>SUMIF(tx_CustID,$A26,tx_Total)</f>
        <v>7309.8</v>
      </c>
      <c r="F26" s="28">
        <f t="shared" si="2"/>
        <v>1044.257143</v>
      </c>
      <c r="G26" s="29">
        <f t="shared" si="3"/>
        <v>0.03189371797</v>
      </c>
      <c r="H26" s="17">
        <f t="shared" si="4"/>
        <v>8</v>
      </c>
      <c r="I26" s="19" t="str">
        <f t="shared" si="5"/>
        <v>High-Value</v>
      </c>
      <c r="J26" s="19" t="str">
        <f t="shared" si="6"/>
        <v>Repeat</v>
      </c>
      <c r="K26" s="30">
        <f>COUNTIF(tx_CustName,$B26)</f>
        <v>7</v>
      </c>
      <c r="L26" s="16">
        <f>MAXIFS(tx_Date,tx_CustID,$A26)</f>
        <v>45660</v>
      </c>
    </row>
    <row r="27" ht="15.75" customHeight="1">
      <c r="A27" s="11" t="str">
        <f>Lists!G23</f>
        <v>CUST020</v>
      </c>
      <c r="B27" s="11" t="str">
        <f>Lists!H23</f>
        <v>Margaret Wright</v>
      </c>
      <c r="C27" s="18">
        <f>COUNTIF(tx_CustID,$A27)</f>
        <v>4</v>
      </c>
      <c r="D27" s="18">
        <f>SUMIF(tx_CustID,$A27,tx_Qty)</f>
        <v>12</v>
      </c>
      <c r="E27" s="28">
        <f>SUMIF(tx_CustID,$A27,tx_Total)</f>
        <v>2099.88</v>
      </c>
      <c r="F27" s="28">
        <f t="shared" si="2"/>
        <v>524.97</v>
      </c>
      <c r="G27" s="29">
        <f t="shared" si="3"/>
        <v>0.00916208111</v>
      </c>
      <c r="H27" s="17">
        <f t="shared" si="4"/>
        <v>35</v>
      </c>
      <c r="I27" s="19" t="str">
        <f t="shared" si="5"/>
        <v>Low-Value</v>
      </c>
      <c r="J27" s="19" t="str">
        <f t="shared" si="6"/>
        <v>Repeat</v>
      </c>
      <c r="K27" s="30">
        <f>COUNTIF(tx_CustName,$B27)</f>
        <v>4</v>
      </c>
      <c r="L27" s="16">
        <f>MAXIFS(tx_Date,tx_CustID,$A27)</f>
        <v>45745</v>
      </c>
    </row>
    <row r="28" ht="15.75" customHeight="1">
      <c r="A28" s="11" t="str">
        <f>Lists!G24</f>
        <v>CUST021</v>
      </c>
      <c r="B28" s="11" t="str">
        <f>Lists!H24</f>
        <v>Kevin Scott</v>
      </c>
      <c r="C28" s="18">
        <f>COUNTIF(tx_CustID,$A28)</f>
        <v>6</v>
      </c>
      <c r="D28" s="18">
        <f>SUMIF(tx_CustID,$A28,tx_Qty)</f>
        <v>13</v>
      </c>
      <c r="E28" s="28">
        <f>SUMIF(tx_CustID,$A28,tx_Total)</f>
        <v>3259.87</v>
      </c>
      <c r="F28" s="28">
        <f t="shared" si="2"/>
        <v>543.3116667</v>
      </c>
      <c r="G28" s="29">
        <f t="shared" si="3"/>
        <v>0.01422328578</v>
      </c>
      <c r="H28" s="17">
        <f t="shared" si="4"/>
        <v>33</v>
      </c>
      <c r="I28" s="19" t="str">
        <f t="shared" si="5"/>
        <v>Low-Value</v>
      </c>
      <c r="J28" s="19" t="str">
        <f t="shared" si="6"/>
        <v>Repeat</v>
      </c>
      <c r="K28" s="30">
        <f>COUNTIF(tx_CustName,$B28)</f>
        <v>6</v>
      </c>
      <c r="L28" s="16">
        <f>MAXIFS(tx_Date,tx_CustID,$A28)</f>
        <v>45704</v>
      </c>
    </row>
    <row r="29" ht="15.75" customHeight="1">
      <c r="A29" s="11" t="str">
        <f>Lists!G25</f>
        <v>CUST022</v>
      </c>
      <c r="B29" s="11" t="str">
        <f>Lists!H25</f>
        <v>Susan Green</v>
      </c>
      <c r="C29" s="18">
        <f>COUNTIF(tx_CustID,$A29)</f>
        <v>4</v>
      </c>
      <c r="D29" s="18">
        <f>SUMIF(tx_CustID,$A29,tx_Qty)</f>
        <v>11</v>
      </c>
      <c r="E29" s="28">
        <f>SUMIF(tx_CustID,$A29,tx_Total)</f>
        <v>1979.89</v>
      </c>
      <c r="F29" s="28">
        <f t="shared" si="2"/>
        <v>494.9725</v>
      </c>
      <c r="G29" s="29">
        <f t="shared" si="3"/>
        <v>0.008638547331</v>
      </c>
      <c r="H29" s="17">
        <f t="shared" si="4"/>
        <v>37</v>
      </c>
      <c r="I29" s="19" t="str">
        <f t="shared" si="5"/>
        <v>Low-Value</v>
      </c>
      <c r="J29" s="19" t="str">
        <f t="shared" si="6"/>
        <v>Repeat</v>
      </c>
      <c r="K29" s="30">
        <f>COUNTIF(tx_CustName,$B29)</f>
        <v>4</v>
      </c>
      <c r="L29" s="16">
        <f>MAXIFS(tx_Date,tx_CustID,$A29)</f>
        <v>45682</v>
      </c>
    </row>
    <row r="30" ht="15.75" customHeight="1">
      <c r="A30" s="11" t="str">
        <f>Lists!G26</f>
        <v>CUST023</v>
      </c>
      <c r="B30" s="11" t="str">
        <f>Lists!H26</f>
        <v>Paul Baker</v>
      </c>
      <c r="C30" s="18">
        <f>COUNTIF(tx_CustID,$A30)</f>
        <v>8</v>
      </c>
      <c r="D30" s="18">
        <f>SUMIF(tx_CustID,$A30,tx_Qty)</f>
        <v>26</v>
      </c>
      <c r="E30" s="28">
        <f>SUMIF(tx_CustID,$A30,tx_Total)</f>
        <v>8309.74</v>
      </c>
      <c r="F30" s="28">
        <f t="shared" si="2"/>
        <v>1038.7175</v>
      </c>
      <c r="G30" s="29">
        <f t="shared" si="3"/>
        <v>0.03625660127</v>
      </c>
      <c r="H30" s="17">
        <f t="shared" si="4"/>
        <v>5</v>
      </c>
      <c r="I30" s="19" t="str">
        <f t="shared" si="5"/>
        <v>High-Value</v>
      </c>
      <c r="J30" s="19" t="str">
        <f t="shared" si="6"/>
        <v>Repeat</v>
      </c>
      <c r="K30" s="30">
        <f>COUNTIF(tx_CustName,$B30)</f>
        <v>8</v>
      </c>
      <c r="L30" s="16">
        <f>MAXIFS(tx_Date,tx_CustID,$A30)</f>
        <v>45739</v>
      </c>
    </row>
    <row r="31" ht="15.75" customHeight="1">
      <c r="A31" s="11" t="str">
        <f>Lists!G27</f>
        <v>CUST024</v>
      </c>
      <c r="B31" s="11" t="str">
        <f>Lists!H27</f>
        <v>Dorothy Nelson</v>
      </c>
      <c r="C31" s="18">
        <f>COUNTIF(tx_CustID,$A31)</f>
        <v>6</v>
      </c>
      <c r="D31" s="18">
        <f>SUMIF(tx_CustID,$A31,tx_Qty)</f>
        <v>21</v>
      </c>
      <c r="E31" s="28">
        <f>SUMIF(tx_CustID,$A31,tx_Total)</f>
        <v>8269.79</v>
      </c>
      <c r="F31" s="28">
        <f t="shared" si="2"/>
        <v>1378.298333</v>
      </c>
      <c r="G31" s="29">
        <f t="shared" si="3"/>
        <v>0.03608229363</v>
      </c>
      <c r="H31" s="17">
        <f t="shared" si="4"/>
        <v>6</v>
      </c>
      <c r="I31" s="19" t="str">
        <f t="shared" si="5"/>
        <v>High-Value</v>
      </c>
      <c r="J31" s="19" t="str">
        <f t="shared" si="6"/>
        <v>Repeat</v>
      </c>
      <c r="K31" s="30">
        <f>COUNTIF(tx_CustName,$B31)</f>
        <v>6</v>
      </c>
      <c r="L31" s="16">
        <f>MAXIFS(tx_Date,tx_CustID,$A31)</f>
        <v>45737</v>
      </c>
    </row>
    <row r="32" ht="15.75" customHeight="1">
      <c r="A32" s="11" t="str">
        <f>Lists!G28</f>
        <v>CUST025</v>
      </c>
      <c r="B32" s="11" t="str">
        <f>Lists!H28</f>
        <v>Mark Carter</v>
      </c>
      <c r="C32" s="18">
        <f>COUNTIF(tx_CustID,$A32)</f>
        <v>12</v>
      </c>
      <c r="D32" s="18">
        <f>SUMIF(tx_CustID,$A32,tx_Qty)</f>
        <v>35</v>
      </c>
      <c r="E32" s="28">
        <f>SUMIF(tx_CustID,$A32,tx_Total)</f>
        <v>15659.65</v>
      </c>
      <c r="F32" s="28">
        <f t="shared" si="2"/>
        <v>1304.970833</v>
      </c>
      <c r="G32" s="29">
        <f t="shared" si="3"/>
        <v>0.068325325</v>
      </c>
      <c r="H32" s="17">
        <f t="shared" si="4"/>
        <v>1</v>
      </c>
      <c r="I32" s="19" t="str">
        <f t="shared" si="5"/>
        <v>High-Value</v>
      </c>
      <c r="J32" s="19" t="str">
        <f t="shared" si="6"/>
        <v>Repeat</v>
      </c>
      <c r="K32" s="30">
        <f>COUNTIF(tx_CustName,$B32)</f>
        <v>12</v>
      </c>
      <c r="L32" s="16">
        <f>MAXIFS(tx_Date,tx_CustID,$A32)</f>
        <v>45686</v>
      </c>
    </row>
    <row r="33" ht="15.75" customHeight="1">
      <c r="A33" s="11" t="str">
        <f>Lists!G29</f>
        <v>CUST026</v>
      </c>
      <c r="B33" s="11" t="str">
        <f>Lists!H29</f>
        <v>Karen Hill</v>
      </c>
      <c r="C33" s="18">
        <f>COUNTIF(tx_CustID,$A33)</f>
        <v>8</v>
      </c>
      <c r="D33" s="18">
        <f>SUMIF(tx_CustID,$A33,tx_Qty)</f>
        <v>23</v>
      </c>
      <c r="E33" s="28">
        <f>SUMIF(tx_CustID,$A33,tx_Total)</f>
        <v>8009.77</v>
      </c>
      <c r="F33" s="28">
        <f t="shared" si="2"/>
        <v>1001.22125</v>
      </c>
      <c r="G33" s="29">
        <f t="shared" si="3"/>
        <v>0.03494778864</v>
      </c>
      <c r="H33" s="17">
        <f t="shared" si="4"/>
        <v>7</v>
      </c>
      <c r="I33" s="19" t="str">
        <f t="shared" si="5"/>
        <v>High-Value</v>
      </c>
      <c r="J33" s="19" t="str">
        <f t="shared" si="6"/>
        <v>Repeat</v>
      </c>
      <c r="K33" s="30">
        <f>COUNTIF(tx_CustName,$B33)</f>
        <v>8</v>
      </c>
      <c r="L33" s="16">
        <f>MAXIFS(tx_Date,tx_CustID,$A33)</f>
        <v>45746</v>
      </c>
    </row>
    <row r="34" ht="15.75" customHeight="1">
      <c r="A34" s="11" t="str">
        <f>Lists!G30</f>
        <v>CUST027</v>
      </c>
      <c r="B34" s="11" t="str">
        <f>Lists!H30</f>
        <v>George Adams</v>
      </c>
      <c r="C34" s="18">
        <f>COUNTIF(tx_CustID,$A34)</f>
        <v>3</v>
      </c>
      <c r="D34" s="18">
        <f>SUMIF(tx_CustID,$A34,tx_Qty)</f>
        <v>7</v>
      </c>
      <c r="E34" s="28">
        <f>SUMIF(tx_CustID,$A34,tx_Total)</f>
        <v>3779.93</v>
      </c>
      <c r="F34" s="28">
        <f t="shared" si="2"/>
        <v>1259.976667</v>
      </c>
      <c r="G34" s="29">
        <f t="shared" si="3"/>
        <v>0.01649238302</v>
      </c>
      <c r="H34" s="17">
        <f t="shared" si="4"/>
        <v>28</v>
      </c>
      <c r="I34" s="19" t="str">
        <f t="shared" si="5"/>
        <v>Low-Value</v>
      </c>
      <c r="J34" s="19" t="str">
        <f t="shared" si="6"/>
        <v>Repeat</v>
      </c>
      <c r="K34" s="30">
        <f>COUNTIF(tx_CustName,$B34)</f>
        <v>3</v>
      </c>
      <c r="L34" s="16">
        <f>MAXIFS(tx_Date,tx_CustID,$A34)</f>
        <v>45608</v>
      </c>
    </row>
    <row r="35" ht="15.75" customHeight="1">
      <c r="A35" s="11" t="str">
        <f>Lists!G31</f>
        <v>CUST028</v>
      </c>
      <c r="B35" s="11" t="str">
        <f>Lists!H31</f>
        <v>Betty Campbell</v>
      </c>
      <c r="C35" s="18">
        <f>COUNTIF(tx_CustID,$A35)</f>
        <v>5</v>
      </c>
      <c r="D35" s="18">
        <f>SUMIF(tx_CustID,$A35,tx_Qty)</f>
        <v>16</v>
      </c>
      <c r="E35" s="28">
        <f>SUMIF(tx_CustID,$A35,tx_Total)</f>
        <v>5649.84</v>
      </c>
      <c r="F35" s="28">
        <f t="shared" si="2"/>
        <v>1129.968</v>
      </c>
      <c r="G35" s="29">
        <f t="shared" si="3"/>
        <v>0.02465107165</v>
      </c>
      <c r="H35" s="17">
        <f t="shared" si="4"/>
        <v>16</v>
      </c>
      <c r="I35" s="19" t="str">
        <f t="shared" si="5"/>
        <v>Mid-Value</v>
      </c>
      <c r="J35" s="19" t="str">
        <f t="shared" si="6"/>
        <v>Repeat</v>
      </c>
      <c r="K35" s="30">
        <f>COUNTIF(tx_CustName,$B35)</f>
        <v>5</v>
      </c>
      <c r="L35" s="16">
        <f>MAXIFS(tx_Date,tx_CustID,$A35)</f>
        <v>45671</v>
      </c>
    </row>
    <row r="36" ht="15.75" customHeight="1">
      <c r="A36" s="11" t="str">
        <f>Lists!G32</f>
        <v>CUST029</v>
      </c>
      <c r="B36" s="11" t="str">
        <f>Lists!H32</f>
        <v>Edward Mitchell</v>
      </c>
      <c r="C36" s="18">
        <f>COUNTIF(tx_CustID,$A36)</f>
        <v>6</v>
      </c>
      <c r="D36" s="18">
        <f>SUMIF(tx_CustID,$A36,tx_Qty)</f>
        <v>23</v>
      </c>
      <c r="E36" s="28">
        <f>SUMIF(tx_CustID,$A36,tx_Total)</f>
        <v>11919.77</v>
      </c>
      <c r="F36" s="28">
        <f t="shared" si="2"/>
        <v>1986.628333</v>
      </c>
      <c r="G36" s="29">
        <f t="shared" si="3"/>
        <v>0.05200768594</v>
      </c>
      <c r="H36" s="17">
        <f t="shared" si="4"/>
        <v>2</v>
      </c>
      <c r="I36" s="19" t="str">
        <f t="shared" si="5"/>
        <v>High-Value</v>
      </c>
      <c r="J36" s="19" t="str">
        <f t="shared" si="6"/>
        <v>Repeat</v>
      </c>
      <c r="K36" s="30">
        <f>COUNTIF(tx_CustName,$B36)</f>
        <v>6</v>
      </c>
      <c r="L36" s="16">
        <f>MAXIFS(tx_Date,tx_CustID,$A36)</f>
        <v>45749</v>
      </c>
    </row>
    <row r="37" ht="15.75" customHeight="1">
      <c r="A37" s="11" t="str">
        <f>Lists!G33</f>
        <v>CUST030</v>
      </c>
      <c r="B37" s="11" t="str">
        <f>Lists!H33</f>
        <v>Helen Roberts</v>
      </c>
      <c r="C37" s="18">
        <f>COUNTIF(tx_CustID,$A37)</f>
        <v>7</v>
      </c>
      <c r="D37" s="18">
        <f>SUMIF(tx_CustID,$A37,tx_Qty)</f>
        <v>21</v>
      </c>
      <c r="E37" s="28">
        <f>SUMIF(tx_CustID,$A37,tx_Total)</f>
        <v>6459.79</v>
      </c>
      <c r="F37" s="28">
        <f t="shared" si="2"/>
        <v>922.8271429</v>
      </c>
      <c r="G37" s="29">
        <f t="shared" si="3"/>
        <v>0.02818500102</v>
      </c>
      <c r="H37" s="17">
        <f t="shared" si="4"/>
        <v>11</v>
      </c>
      <c r="I37" s="19" t="str">
        <f t="shared" si="5"/>
        <v>Mid-Value</v>
      </c>
      <c r="J37" s="19" t="str">
        <f t="shared" si="6"/>
        <v>Repeat</v>
      </c>
      <c r="K37" s="30">
        <f>COUNTIF(tx_CustName,$B37)</f>
        <v>7</v>
      </c>
      <c r="L37" s="16">
        <f>MAXIFS(tx_Date,tx_CustID,$A37)</f>
        <v>45723</v>
      </c>
    </row>
    <row r="38" ht="15.75" customHeight="1">
      <c r="A38" s="11" t="str">
        <f>Lists!G34</f>
        <v>CUST031</v>
      </c>
      <c r="B38" s="11" t="str">
        <f>Lists!H34</f>
        <v>Steven Turner</v>
      </c>
      <c r="C38" s="18">
        <f>COUNTIF(tx_CustID,$A38)</f>
        <v>6</v>
      </c>
      <c r="D38" s="18">
        <f>SUMIF(tx_CustID,$A38,tx_Qty)</f>
        <v>17</v>
      </c>
      <c r="E38" s="28">
        <f>SUMIF(tx_CustID,$A38,tx_Total)</f>
        <v>2649.83</v>
      </c>
      <c r="F38" s="28">
        <f t="shared" si="2"/>
        <v>441.6383333</v>
      </c>
      <c r="G38" s="29">
        <f t="shared" si="3"/>
        <v>0.01156159275</v>
      </c>
      <c r="H38" s="17">
        <f t="shared" si="4"/>
        <v>34</v>
      </c>
      <c r="I38" s="19" t="str">
        <f t="shared" si="5"/>
        <v>Low-Value</v>
      </c>
      <c r="J38" s="19" t="str">
        <f t="shared" si="6"/>
        <v>Repeat</v>
      </c>
      <c r="K38" s="30">
        <f>COUNTIF(tx_CustName,$B38)</f>
        <v>6</v>
      </c>
      <c r="L38" s="16">
        <f>MAXIFS(tx_Date,tx_CustID,$A38)</f>
        <v>45758</v>
      </c>
    </row>
    <row r="39" ht="15.75" customHeight="1">
      <c r="A39" s="11" t="str">
        <f>Lists!G35</f>
        <v>CUST032</v>
      </c>
      <c r="B39" s="11" t="str">
        <f>Lists!H35</f>
        <v>Sandra Phillips</v>
      </c>
      <c r="C39" s="18">
        <f>COUNTIF(tx_CustID,$A39)</f>
        <v>5</v>
      </c>
      <c r="D39" s="18">
        <f>SUMIF(tx_CustID,$A39,tx_Qty)</f>
        <v>17</v>
      </c>
      <c r="E39" s="28">
        <f>SUMIF(tx_CustID,$A39,tx_Total)</f>
        <v>6349.83</v>
      </c>
      <c r="F39" s="28">
        <f t="shared" si="2"/>
        <v>1269.966</v>
      </c>
      <c r="G39" s="29">
        <f t="shared" si="3"/>
        <v>0.02770522958</v>
      </c>
      <c r="H39" s="17">
        <f t="shared" si="4"/>
        <v>13</v>
      </c>
      <c r="I39" s="19" t="str">
        <f t="shared" si="5"/>
        <v>Mid-Value</v>
      </c>
      <c r="J39" s="19" t="str">
        <f t="shared" si="6"/>
        <v>Repeat</v>
      </c>
      <c r="K39" s="30">
        <f>COUNTIF(tx_CustName,$B39)</f>
        <v>5</v>
      </c>
      <c r="L39" s="16">
        <f>MAXIFS(tx_Date,tx_CustID,$A39)</f>
        <v>45671</v>
      </c>
    </row>
    <row r="40" ht="15.75" customHeight="1">
      <c r="A40" s="11" t="str">
        <f>Lists!G36</f>
        <v>CUST033</v>
      </c>
      <c r="B40" s="11" t="str">
        <f>Lists!H36</f>
        <v>Frank Torres</v>
      </c>
      <c r="C40" s="18">
        <f>COUNTIF(tx_CustID,$A40)</f>
        <v>5</v>
      </c>
      <c r="D40" s="18">
        <f>SUMIF(tx_CustID,$A40,tx_Qty)</f>
        <v>9</v>
      </c>
      <c r="E40" s="28">
        <f>SUMIF(tx_CustID,$A40,tx_Total)</f>
        <v>1479.91</v>
      </c>
      <c r="F40" s="28">
        <f t="shared" si="2"/>
        <v>295.982</v>
      </c>
      <c r="G40" s="29">
        <f t="shared" si="3"/>
        <v>0.006457062049</v>
      </c>
      <c r="H40" s="17">
        <f t="shared" si="4"/>
        <v>42</v>
      </c>
      <c r="I40" s="19" t="str">
        <f t="shared" si="5"/>
        <v>Low-Value</v>
      </c>
      <c r="J40" s="19" t="str">
        <f t="shared" si="6"/>
        <v>Repeat</v>
      </c>
      <c r="K40" s="30">
        <f>COUNTIF(tx_CustName,$B40)</f>
        <v>5</v>
      </c>
      <c r="L40" s="16">
        <f>MAXIFS(tx_Date,tx_CustID,$A40)</f>
        <v>45734</v>
      </c>
    </row>
    <row r="41" ht="15.75" customHeight="1">
      <c r="A41" s="11" t="str">
        <f>Lists!G37</f>
        <v>CUST034</v>
      </c>
      <c r="B41" s="11" t="str">
        <f>Lists!H37</f>
        <v>Carol Evans</v>
      </c>
      <c r="C41" s="18">
        <f>COUNTIF(tx_CustID,$A41)</f>
        <v>3</v>
      </c>
      <c r="D41" s="18">
        <f>SUMIF(tx_CustID,$A41,tx_Qty)</f>
        <v>7</v>
      </c>
      <c r="E41" s="28">
        <f>SUMIF(tx_CustID,$A41,tx_Total)</f>
        <v>1149.93</v>
      </c>
      <c r="F41" s="28">
        <f t="shared" si="2"/>
        <v>383.31</v>
      </c>
      <c r="G41" s="29">
        <f t="shared" si="3"/>
        <v>0.005017311433</v>
      </c>
      <c r="H41" s="17">
        <f t="shared" si="4"/>
        <v>45</v>
      </c>
      <c r="I41" s="19" t="str">
        <f t="shared" si="5"/>
        <v>Low-Value</v>
      </c>
      <c r="J41" s="19" t="str">
        <f t="shared" si="6"/>
        <v>Repeat</v>
      </c>
      <c r="K41" s="30">
        <f>COUNTIF(tx_CustName,$B41)</f>
        <v>3</v>
      </c>
      <c r="L41" s="16">
        <f>MAXIFS(tx_Date,tx_CustID,$A41)</f>
        <v>45573</v>
      </c>
    </row>
    <row r="42" ht="15.75" customHeight="1">
      <c r="A42" s="11" t="str">
        <f>Lists!G38</f>
        <v>CUST035</v>
      </c>
      <c r="B42" s="11" t="str">
        <f>Lists!H38</f>
        <v>Harry Morgan</v>
      </c>
      <c r="C42" s="18">
        <f>COUNTIF(tx_CustID,$A42)</f>
        <v>4</v>
      </c>
      <c r="D42" s="18">
        <f>SUMIF(tx_CustID,$A42,tx_Qty)</f>
        <v>11</v>
      </c>
      <c r="E42" s="28">
        <f>SUMIF(tx_CustID,$A42,tx_Total)</f>
        <v>5519.89</v>
      </c>
      <c r="F42" s="28">
        <f t="shared" si="2"/>
        <v>1379.9725</v>
      </c>
      <c r="G42" s="29">
        <f t="shared" si="3"/>
        <v>0.02408408095</v>
      </c>
      <c r="H42" s="17">
        <f t="shared" si="4"/>
        <v>18</v>
      </c>
      <c r="I42" s="19" t="str">
        <f t="shared" si="5"/>
        <v>Mid-Value</v>
      </c>
      <c r="J42" s="19" t="str">
        <f t="shared" si="6"/>
        <v>Repeat</v>
      </c>
      <c r="K42" s="30">
        <f>COUNTIF(tx_CustName,$B42)</f>
        <v>4</v>
      </c>
      <c r="L42" s="16">
        <f>MAXIFS(tx_Date,tx_CustID,$A42)</f>
        <v>45726</v>
      </c>
    </row>
    <row r="43" ht="15.75" customHeight="1">
      <c r="A43" s="11" t="str">
        <f>Lists!G39</f>
        <v>CUST036</v>
      </c>
      <c r="B43" s="11" t="str">
        <f>Lists!H39</f>
        <v>Nancy Collins</v>
      </c>
      <c r="C43" s="18">
        <f>COUNTIF(tx_CustID,$A43)</f>
        <v>6</v>
      </c>
      <c r="D43" s="18">
        <f>SUMIF(tx_CustID,$A43,tx_Qty)</f>
        <v>23</v>
      </c>
      <c r="E43" s="28">
        <f>SUMIF(tx_CustID,$A43,tx_Total)</f>
        <v>4189.77</v>
      </c>
      <c r="F43" s="28">
        <f t="shared" si="2"/>
        <v>698.295</v>
      </c>
      <c r="G43" s="29">
        <f t="shared" si="3"/>
        <v>0.0182805744</v>
      </c>
      <c r="H43" s="17">
        <f t="shared" si="4"/>
        <v>27</v>
      </c>
      <c r="I43" s="19" t="str">
        <f t="shared" si="5"/>
        <v>Low-Value</v>
      </c>
      <c r="J43" s="19" t="str">
        <f t="shared" si="6"/>
        <v>Repeat</v>
      </c>
      <c r="K43" s="30">
        <f>COUNTIF(tx_CustName,$B43)</f>
        <v>6</v>
      </c>
      <c r="L43" s="16">
        <f>MAXIFS(tx_Date,tx_CustID,$A43)</f>
        <v>45701</v>
      </c>
    </row>
    <row r="44" ht="15.75" customHeight="1">
      <c r="A44" s="11" t="str">
        <f>Lists!G40</f>
        <v>CUST037</v>
      </c>
      <c r="B44" s="11" t="str">
        <f>Lists!H40</f>
        <v>Arthur Edwards</v>
      </c>
      <c r="C44" s="18">
        <f>COUNTIF(tx_CustID,$A44)</f>
        <v>3</v>
      </c>
      <c r="D44" s="18">
        <f>SUMIF(tx_CustID,$A44,tx_Qty)</f>
        <v>6</v>
      </c>
      <c r="E44" s="28">
        <f>SUMIF(tx_CustID,$A44,tx_Total)</f>
        <v>1559.94</v>
      </c>
      <c r="F44" s="28">
        <f t="shared" si="2"/>
        <v>519.98</v>
      </c>
      <c r="G44" s="29">
        <f t="shared" si="3"/>
        <v>0.006806244551</v>
      </c>
      <c r="H44" s="17">
        <f t="shared" si="4"/>
        <v>41</v>
      </c>
      <c r="I44" s="19" t="str">
        <f t="shared" si="5"/>
        <v>Low-Value</v>
      </c>
      <c r="J44" s="19" t="str">
        <f t="shared" si="6"/>
        <v>Repeat</v>
      </c>
      <c r="K44" s="30">
        <f>COUNTIF(tx_CustName,$B44)</f>
        <v>3</v>
      </c>
      <c r="L44" s="16">
        <f>MAXIFS(tx_Date,tx_CustID,$A44)</f>
        <v>45711</v>
      </c>
    </row>
    <row r="45" ht="15.75" customHeight="1">
      <c r="A45" s="11" t="str">
        <f>Lists!G41</f>
        <v>CUST038</v>
      </c>
      <c r="B45" s="11" t="str">
        <f>Lists!H41</f>
        <v>Michelle Rogers</v>
      </c>
      <c r="C45" s="18">
        <f>COUNTIF(tx_CustID,$A45)</f>
        <v>2</v>
      </c>
      <c r="D45" s="18">
        <f>SUMIF(tx_CustID,$A45,tx_Qty)</f>
        <v>6</v>
      </c>
      <c r="E45" s="28">
        <f>SUMIF(tx_CustID,$A45,tx_Total)</f>
        <v>4199.94</v>
      </c>
      <c r="F45" s="28">
        <f t="shared" si="2"/>
        <v>2099.97</v>
      </c>
      <c r="G45" s="29">
        <f t="shared" si="3"/>
        <v>0.01832494759</v>
      </c>
      <c r="H45" s="17">
        <f t="shared" si="4"/>
        <v>26</v>
      </c>
      <c r="I45" s="19" t="str">
        <f t="shared" si="5"/>
        <v>Low-Value</v>
      </c>
      <c r="J45" s="19" t="str">
        <f t="shared" si="6"/>
        <v>Repeat</v>
      </c>
      <c r="K45" s="30">
        <f>COUNTIF(tx_CustName,$B45)</f>
        <v>2</v>
      </c>
      <c r="L45" s="16">
        <f>MAXIFS(tx_Date,tx_CustID,$A45)</f>
        <v>45668</v>
      </c>
    </row>
    <row r="46" ht="15.75" customHeight="1">
      <c r="A46" s="11" t="str">
        <f>Lists!G42</f>
        <v>CUST039</v>
      </c>
      <c r="B46" s="11" t="str">
        <f>Lists!H42</f>
        <v>Lawrence Reed</v>
      </c>
      <c r="C46" s="18">
        <f>COUNTIF(tx_CustID,$A46)</f>
        <v>8</v>
      </c>
      <c r="D46" s="18">
        <f>SUMIF(tx_CustID,$A46,tx_Qty)</f>
        <v>23</v>
      </c>
      <c r="E46" s="28">
        <f>SUMIF(tx_CustID,$A46,tx_Total)</f>
        <v>6989.77</v>
      </c>
      <c r="F46" s="28">
        <f t="shared" si="2"/>
        <v>873.72125</v>
      </c>
      <c r="G46" s="29">
        <f t="shared" si="3"/>
        <v>0.03049738065</v>
      </c>
      <c r="H46" s="17">
        <f t="shared" si="4"/>
        <v>9</v>
      </c>
      <c r="I46" s="19" t="str">
        <f t="shared" si="5"/>
        <v>High-Value</v>
      </c>
      <c r="J46" s="19" t="str">
        <f t="shared" si="6"/>
        <v>Repeat</v>
      </c>
      <c r="K46" s="30">
        <f>COUNTIF(tx_CustName,$B46)</f>
        <v>8</v>
      </c>
      <c r="L46" s="16">
        <f>MAXIFS(tx_Date,tx_CustID,$A46)</f>
        <v>45758</v>
      </c>
    </row>
    <row r="47" ht="15.75" customHeight="1">
      <c r="A47" s="11" t="str">
        <f>Lists!G43</f>
        <v>CUST040</v>
      </c>
      <c r="B47" s="11" t="str">
        <f>Lists!H43</f>
        <v>Sharon Butler</v>
      </c>
      <c r="C47" s="18">
        <f>COUNTIF(tx_CustID,$A47)</f>
        <v>6</v>
      </c>
      <c r="D47" s="18">
        <f>SUMIF(tx_CustID,$A47,tx_Qty)</f>
        <v>13</v>
      </c>
      <c r="E47" s="28">
        <f>SUMIF(tx_CustID,$A47,tx_Total)</f>
        <v>5619.87</v>
      </c>
      <c r="F47" s="28">
        <f t="shared" si="2"/>
        <v>936.645</v>
      </c>
      <c r="G47" s="29">
        <f t="shared" si="3"/>
        <v>0.02452030819</v>
      </c>
      <c r="H47" s="17">
        <f t="shared" si="4"/>
        <v>17</v>
      </c>
      <c r="I47" s="19" t="str">
        <f t="shared" si="5"/>
        <v>Mid-Value</v>
      </c>
      <c r="J47" s="19" t="str">
        <f t="shared" si="6"/>
        <v>Repeat</v>
      </c>
      <c r="K47" s="30">
        <f>COUNTIF(tx_CustName,$B47)</f>
        <v>6</v>
      </c>
      <c r="L47" s="16">
        <f>MAXIFS(tx_Date,tx_CustID,$A47)</f>
        <v>45737</v>
      </c>
    </row>
    <row r="48" ht="15.75" customHeight="1">
      <c r="A48" s="11" t="str">
        <f>Lists!G44</f>
        <v>CUST041</v>
      </c>
      <c r="B48" s="11" t="str">
        <f>Lists!H44</f>
        <v>Peter Richardson</v>
      </c>
      <c r="C48" s="18">
        <f>COUNTIF(tx_CustID,$A48)</f>
        <v>5</v>
      </c>
      <c r="D48" s="18">
        <f>SUMIF(tx_CustID,$A48,tx_Qty)</f>
        <v>15</v>
      </c>
      <c r="E48" s="28">
        <f>SUMIF(tx_CustID,$A48,tx_Total)</f>
        <v>5949.85</v>
      </c>
      <c r="F48" s="28">
        <f t="shared" si="2"/>
        <v>1189.97</v>
      </c>
      <c r="G48" s="29">
        <f t="shared" si="3"/>
        <v>0.02596005881</v>
      </c>
      <c r="H48" s="17">
        <f t="shared" si="4"/>
        <v>15</v>
      </c>
      <c r="I48" s="19" t="str">
        <f t="shared" si="5"/>
        <v>Mid-Value</v>
      </c>
      <c r="J48" s="19" t="str">
        <f t="shared" si="6"/>
        <v>Repeat</v>
      </c>
      <c r="K48" s="30">
        <f>COUNTIF(tx_CustName,$B48)</f>
        <v>5</v>
      </c>
      <c r="L48" s="16">
        <f>MAXIFS(tx_Date,tx_CustID,$A48)</f>
        <v>45638</v>
      </c>
    </row>
    <row r="49" ht="15.75" customHeight="1">
      <c r="A49" s="11" t="str">
        <f>Lists!G45</f>
        <v>CUST042</v>
      </c>
      <c r="B49" s="11" t="str">
        <f>Lists!H45</f>
        <v>Ruth Brooks</v>
      </c>
      <c r="C49" s="18">
        <f>COUNTIF(tx_CustID,$A49)</f>
        <v>3</v>
      </c>
      <c r="D49" s="18">
        <f>SUMIF(tx_CustID,$A49,tx_Qty)</f>
        <v>8</v>
      </c>
      <c r="E49" s="28">
        <f>SUMIF(tx_CustID,$A49,tx_Total)</f>
        <v>1749.92</v>
      </c>
      <c r="F49" s="28">
        <f t="shared" si="2"/>
        <v>583.3066667</v>
      </c>
      <c r="G49" s="29">
        <f t="shared" si="3"/>
        <v>0.007635154855</v>
      </c>
      <c r="H49" s="17">
        <f t="shared" si="4"/>
        <v>40</v>
      </c>
      <c r="I49" s="19" t="str">
        <f t="shared" si="5"/>
        <v>Low-Value</v>
      </c>
      <c r="J49" s="19" t="str">
        <f t="shared" si="6"/>
        <v>Repeat</v>
      </c>
      <c r="K49" s="30">
        <f>COUNTIF(tx_CustName,$B49)</f>
        <v>3</v>
      </c>
      <c r="L49" s="16">
        <f>MAXIFS(tx_Date,tx_CustID,$A49)</f>
        <v>45711</v>
      </c>
    </row>
    <row r="50" ht="15.75" customHeight="1">
      <c r="A50" s="11" t="str">
        <f>Lists!G46</f>
        <v>CUST043</v>
      </c>
      <c r="B50" s="11" t="str">
        <f>Lists!H46</f>
        <v>Dennis Gray</v>
      </c>
      <c r="C50" s="18">
        <f>COUNTIF(tx_CustID,$A50)</f>
        <v>2</v>
      </c>
      <c r="D50" s="18">
        <f>SUMIF(tx_CustID,$A50,tx_Qty)</f>
        <v>8</v>
      </c>
      <c r="E50" s="28">
        <f>SUMIF(tx_CustID,$A50,tx_Total)</f>
        <v>479.92</v>
      </c>
      <c r="F50" s="28">
        <f t="shared" si="2"/>
        <v>239.96</v>
      </c>
      <c r="G50" s="29">
        <f t="shared" si="3"/>
        <v>0.002093960591</v>
      </c>
      <c r="H50" s="17">
        <f t="shared" si="4"/>
        <v>48</v>
      </c>
      <c r="I50" s="19" t="str">
        <f t="shared" si="5"/>
        <v>Low-Value</v>
      </c>
      <c r="J50" s="19" t="str">
        <f t="shared" si="6"/>
        <v>Repeat</v>
      </c>
      <c r="K50" s="30">
        <f>COUNTIF(tx_CustName,$B50)</f>
        <v>2</v>
      </c>
      <c r="L50" s="16">
        <f>MAXIFS(tx_Date,tx_CustID,$A50)</f>
        <v>45721</v>
      </c>
    </row>
    <row r="51" ht="15.75" customHeight="1">
      <c r="A51" s="11" t="str">
        <f>Lists!G47</f>
        <v>CUST044</v>
      </c>
      <c r="B51" s="11" t="str">
        <f>Lists!H47</f>
        <v>Cynthia Price</v>
      </c>
      <c r="C51" s="18">
        <f>COUNTIF(tx_CustID,$A51)</f>
        <v>5</v>
      </c>
      <c r="D51" s="18">
        <f>SUMIF(tx_CustID,$A51,tx_Qty)</f>
        <v>17</v>
      </c>
      <c r="E51" s="28">
        <f>SUMIF(tx_CustID,$A51,tx_Total)</f>
        <v>3769.83</v>
      </c>
      <c r="F51" s="28">
        <f t="shared" si="2"/>
        <v>753.966</v>
      </c>
      <c r="G51" s="29">
        <f t="shared" si="3"/>
        <v>0.01644831525</v>
      </c>
      <c r="H51" s="17">
        <f t="shared" si="4"/>
        <v>29</v>
      </c>
      <c r="I51" s="19" t="str">
        <f t="shared" si="5"/>
        <v>Low-Value</v>
      </c>
      <c r="J51" s="19" t="str">
        <f t="shared" si="6"/>
        <v>Repeat</v>
      </c>
      <c r="K51" s="30">
        <f>COUNTIF(tx_CustName,$B51)</f>
        <v>5</v>
      </c>
      <c r="L51" s="16">
        <f>MAXIFS(tx_Date,tx_CustID,$A51)</f>
        <v>45748</v>
      </c>
    </row>
    <row r="52" ht="15.75" customHeight="1">
      <c r="A52" s="11" t="str">
        <f>Lists!G48</f>
        <v>CUST045</v>
      </c>
      <c r="B52" s="11" t="str">
        <f>Lists!H48</f>
        <v>Douglas Watson</v>
      </c>
      <c r="C52" s="18">
        <f>COUNTIF(tx_CustID,$A52)</f>
        <v>4</v>
      </c>
      <c r="D52" s="18">
        <f>SUMIF(tx_CustID,$A52,tx_Qty)</f>
        <v>11</v>
      </c>
      <c r="E52" s="28">
        <f>SUMIF(tx_CustID,$A52,tx_Total)</f>
        <v>4829.89</v>
      </c>
      <c r="F52" s="28">
        <f t="shared" si="2"/>
        <v>1207.4725</v>
      </c>
      <c r="G52" s="29">
        <f t="shared" si="3"/>
        <v>0.02107351084</v>
      </c>
      <c r="H52" s="17">
        <f t="shared" si="4"/>
        <v>21</v>
      </c>
      <c r="I52" s="19" t="str">
        <f t="shared" si="5"/>
        <v>Mid-Value</v>
      </c>
      <c r="J52" s="19" t="str">
        <f t="shared" si="6"/>
        <v>Repeat</v>
      </c>
      <c r="K52" s="30">
        <f>COUNTIF(tx_CustName,$B52)</f>
        <v>4</v>
      </c>
      <c r="L52" s="16">
        <f>MAXIFS(tx_Date,tx_CustID,$A52)</f>
        <v>45758</v>
      </c>
    </row>
    <row r="53" ht="15.75" customHeight="1">
      <c r="A53" s="11" t="str">
        <f>Lists!G49</f>
        <v>CUST046</v>
      </c>
      <c r="B53" s="11" t="str">
        <f>Lists!H49</f>
        <v>Kathleen Bennett</v>
      </c>
      <c r="C53" s="18">
        <f>COUNTIF(tx_CustID,$A53)</f>
        <v>6</v>
      </c>
      <c r="D53" s="18">
        <f>SUMIF(tx_CustID,$A53,tx_Qty)</f>
        <v>19</v>
      </c>
      <c r="E53" s="28">
        <f>SUMIF(tx_CustID,$A53,tx_Total)</f>
        <v>4309.81</v>
      </c>
      <c r="F53" s="28">
        <f t="shared" si="2"/>
        <v>718.3016667</v>
      </c>
      <c r="G53" s="29">
        <f t="shared" si="3"/>
        <v>0.01880432634</v>
      </c>
      <c r="H53" s="17">
        <f t="shared" si="4"/>
        <v>25</v>
      </c>
      <c r="I53" s="19" t="str">
        <f t="shared" si="5"/>
        <v>Mid-Value</v>
      </c>
      <c r="J53" s="19" t="str">
        <f t="shared" si="6"/>
        <v>Repeat</v>
      </c>
      <c r="K53" s="30">
        <f>COUNTIF(tx_CustName,$B53)</f>
        <v>6</v>
      </c>
      <c r="L53" s="16">
        <f>MAXIFS(tx_Date,tx_CustID,$A53)</f>
        <v>45588</v>
      </c>
    </row>
    <row r="54" ht="15.75" customHeight="1">
      <c r="A54" s="11" t="str">
        <f>Lists!G50</f>
        <v>CUST047</v>
      </c>
      <c r="B54" s="11" t="str">
        <f>Lists!H50</f>
        <v>Gerald Murphy</v>
      </c>
      <c r="C54" s="18">
        <f>COUNTIF(tx_CustID,$A54)</f>
        <v>4</v>
      </c>
      <c r="D54" s="18">
        <f>SUMIF(tx_CustID,$A54,tx_Qty)</f>
        <v>13</v>
      </c>
      <c r="E54" s="28">
        <f>SUMIF(tx_CustID,$A54,tx_Total)</f>
        <v>6379.87</v>
      </c>
      <c r="F54" s="28">
        <f t="shared" si="2"/>
        <v>1594.9675</v>
      </c>
      <c r="G54" s="29">
        <f t="shared" si="3"/>
        <v>0.02783629846</v>
      </c>
      <c r="H54" s="17">
        <f t="shared" si="4"/>
        <v>12</v>
      </c>
      <c r="I54" s="19" t="str">
        <f t="shared" si="5"/>
        <v>Mid-Value</v>
      </c>
      <c r="J54" s="19" t="str">
        <f t="shared" si="6"/>
        <v>Repeat</v>
      </c>
      <c r="K54" s="30">
        <f>COUNTIF(tx_CustName,$B54)</f>
        <v>4</v>
      </c>
      <c r="L54" s="16">
        <f>MAXIFS(tx_Date,tx_CustID,$A54)</f>
        <v>45532</v>
      </c>
    </row>
    <row r="55" ht="15.75" customHeight="1">
      <c r="A55" s="11" t="str">
        <f>Lists!G51</f>
        <v>CUST048</v>
      </c>
      <c r="B55" s="11" t="str">
        <f>Lists!H51</f>
        <v>Virginia Sanders</v>
      </c>
      <c r="C55" s="18">
        <f>COUNTIF(tx_CustID,$A55)</f>
        <v>6</v>
      </c>
      <c r="D55" s="18">
        <f>SUMIF(tx_CustID,$A55,tx_Qty)</f>
        <v>21</v>
      </c>
      <c r="E55" s="28">
        <f>SUMIF(tx_CustID,$A55,tx_Total)</f>
        <v>4789.79</v>
      </c>
      <c r="F55" s="28">
        <f t="shared" si="2"/>
        <v>798.2983333</v>
      </c>
      <c r="G55" s="29">
        <f t="shared" si="3"/>
        <v>0.02089854872</v>
      </c>
      <c r="H55" s="17">
        <f t="shared" si="4"/>
        <v>22</v>
      </c>
      <c r="I55" s="19" t="str">
        <f t="shared" si="5"/>
        <v>Mid-Value</v>
      </c>
      <c r="J55" s="19" t="str">
        <f t="shared" si="6"/>
        <v>Repeat</v>
      </c>
      <c r="K55" s="30">
        <f>COUNTIF(tx_CustName,$B55)</f>
        <v>6</v>
      </c>
      <c r="L55" s="16">
        <f>MAXIFS(tx_Date,tx_CustID,$A55)</f>
        <v>45755</v>
      </c>
    </row>
    <row r="56" ht="15.75" customHeight="1">
      <c r="A56" s="11" t="str">
        <f>Lists!G52</f>
        <v>CUST049</v>
      </c>
      <c r="B56" s="11" t="str">
        <f>Lists!H52</f>
        <v>Raymond Ross</v>
      </c>
      <c r="C56" s="18">
        <f>COUNTIF(tx_CustID,$A56)</f>
        <v>4</v>
      </c>
      <c r="D56" s="18">
        <f>SUMIF(tx_CustID,$A56,tx_Qty)</f>
        <v>15</v>
      </c>
      <c r="E56" s="28">
        <f>SUMIF(tx_CustID,$A56,tx_Total)</f>
        <v>3669.85</v>
      </c>
      <c r="F56" s="28">
        <f t="shared" si="2"/>
        <v>917.4625</v>
      </c>
      <c r="G56" s="29">
        <f t="shared" si="3"/>
        <v>0.01601208801</v>
      </c>
      <c r="H56" s="17">
        <f t="shared" si="4"/>
        <v>30</v>
      </c>
      <c r="I56" s="19" t="str">
        <f t="shared" si="5"/>
        <v>Low-Value</v>
      </c>
      <c r="J56" s="19" t="str">
        <f t="shared" si="6"/>
        <v>Repeat</v>
      </c>
      <c r="K56" s="30">
        <f>COUNTIF(tx_CustName,$B56)</f>
        <v>4</v>
      </c>
      <c r="L56" s="16">
        <f>MAXIFS(tx_Date,tx_CustID,$A56)</f>
        <v>45592</v>
      </c>
    </row>
    <row r="57" ht="15.75" customHeight="1">
      <c r="A57" s="11" t="str">
        <f>Lists!G53</f>
        <v>CUST050</v>
      </c>
      <c r="B57" s="11" t="str">
        <f>Lists!H53</f>
        <v>Julie Foster</v>
      </c>
      <c r="C57" s="18">
        <f>COUNTIF(tx_CustID,$A57)</f>
        <v>1</v>
      </c>
      <c r="D57" s="18">
        <f>SUMIF(tx_CustID,$A57,tx_Qty)</f>
        <v>4</v>
      </c>
      <c r="E57" s="28">
        <f>SUMIF(tx_CustID,$A57,tx_Total)</f>
        <v>239.96</v>
      </c>
      <c r="F57" s="28">
        <f t="shared" si="2"/>
        <v>239.96</v>
      </c>
      <c r="G57" s="29">
        <f t="shared" si="3"/>
        <v>0.001046980296</v>
      </c>
      <c r="H57" s="17">
        <f t="shared" si="4"/>
        <v>49</v>
      </c>
      <c r="I57" s="19" t="str">
        <f t="shared" si="5"/>
        <v>Low-Value</v>
      </c>
      <c r="J57" s="19" t="str">
        <f t="shared" si="6"/>
        <v>One-time</v>
      </c>
      <c r="K57" s="30">
        <f>COUNTIF(tx_CustName,$B57)</f>
        <v>1</v>
      </c>
      <c r="L57" s="16">
        <f>MAXIFS(tx_Date,tx_CustID,$A57)</f>
        <v>45452</v>
      </c>
    </row>
    <row r="58" ht="15.75" customHeight="1">
      <c r="A58" s="31" t="s">
        <v>454</v>
      </c>
      <c r="B58" s="11"/>
      <c r="C58" s="41">
        <f t="shared" ref="C58:E58" si="13">SUM(C8:C57)</f>
        <v>250</v>
      </c>
      <c r="D58" s="41">
        <f t="shared" si="13"/>
        <v>753</v>
      </c>
      <c r="E58" s="32">
        <f t="shared" si="13"/>
        <v>229192.47</v>
      </c>
      <c r="F58" s="32">
        <f>E58/C58</f>
        <v>916.76988</v>
      </c>
      <c r="G58" s="33">
        <f>SUM(G8:G57)</f>
        <v>1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N21:P21"/>
    <mergeCell ref="Q21:R21"/>
    <mergeCell ref="N22:P22"/>
    <mergeCell ref="Q22:R22"/>
  </mergeCells>
  <conditionalFormatting sqref="I8:I57">
    <cfRule type="expression" dxfId="2" priority="1">
      <formula>$I8="High-Value"</formula>
    </cfRule>
  </conditionalFormatting>
  <conditionalFormatting sqref="I8:I57">
    <cfRule type="expression" dxfId="1" priority="2">
      <formula>$I8="Low-Value"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48.0"/>
    <col customWidth="1" min="2" max="2" width="22.57"/>
    <col customWidth="1" min="3" max="3" width="13.0"/>
    <col customWidth="1" min="4" max="4" width="11.0"/>
    <col customWidth="1" min="5" max="5" width="12.0"/>
    <col customWidth="1" min="6" max="6" width="11.0"/>
    <col customWidth="1" min="7" max="7" width="13.0"/>
    <col customWidth="1" min="8" max="8" width="12.0"/>
    <col customWidth="1" min="9" max="11" width="11.0"/>
    <col customWidth="1" min="12" max="12" width="13.0"/>
    <col customWidth="1" min="13" max="13" width="7.0"/>
    <col customWidth="1" min="14" max="14" width="16.0"/>
    <col customWidth="1" min="15" max="15" width="10.0"/>
    <col customWidth="1" min="16" max="16" width="12.0"/>
    <col customWidth="1" min="17" max="17" width="14.0"/>
    <col customWidth="1" min="18" max="25" width="8.71"/>
  </cols>
  <sheetData>
    <row r="1">
      <c r="A1" s="1"/>
    </row>
    <row r="2">
      <c r="A2" s="23"/>
    </row>
    <row r="4">
      <c r="M4" s="6" t="s">
        <v>442</v>
      </c>
    </row>
    <row r="5">
      <c r="A5" s="3" t="s">
        <v>3</v>
      </c>
      <c r="B5" s="3" t="s">
        <v>443</v>
      </c>
      <c r="C5" s="3" t="s">
        <v>2</v>
      </c>
      <c r="D5" s="3" t="s">
        <v>444</v>
      </c>
      <c r="E5" s="3" t="s">
        <v>445</v>
      </c>
      <c r="F5" s="3" t="s">
        <v>446</v>
      </c>
      <c r="G5" s="3" t="s">
        <v>317</v>
      </c>
      <c r="H5" s="3" t="s">
        <v>447</v>
      </c>
      <c r="I5" s="5" t="s">
        <v>448</v>
      </c>
      <c r="J5" s="5" t="s">
        <v>449</v>
      </c>
      <c r="K5" s="5" t="s">
        <v>450</v>
      </c>
      <c r="M5" s="3" t="s">
        <v>320</v>
      </c>
      <c r="N5" s="3" t="s">
        <v>443</v>
      </c>
      <c r="O5" s="3" t="s">
        <v>316</v>
      </c>
      <c r="P5" s="3" t="s">
        <v>317</v>
      </c>
      <c r="Q5" s="3" t="s">
        <v>445</v>
      </c>
    </row>
    <row r="6">
      <c r="A6" s="11" t="str">
        <f>Lists!C4</f>
        <v>P001</v>
      </c>
      <c r="B6" s="11" t="str">
        <f>Lists!D4</f>
        <v>Laptop</v>
      </c>
      <c r="C6" s="11" t="str">
        <f t="array" ref="C6">INDEX(tx_Category,MATCH($B6,tx_Product,0))</f>
        <v>Electronics</v>
      </c>
      <c r="D6" s="26">
        <f t="array" ref="D6">INDEX(tx_Price,MATCH($B6,tx_Product,0))</f>
        <v>899.99</v>
      </c>
      <c r="E6" s="18">
        <f>COUNTIF(tx_Product,$B6)</f>
        <v>24</v>
      </c>
      <c r="F6" s="18">
        <f>SUMIF(tx_Product,$B6,tx_Qty)</f>
        <v>75</v>
      </c>
      <c r="G6" s="28">
        <f>SUMIF(tx_Product,$B6,tx_Total)</f>
        <v>67499.25</v>
      </c>
      <c r="H6" s="29">
        <f t="shared" ref="H6:H15" si="1">G6/$G$16</f>
        <v>0.2945090212</v>
      </c>
      <c r="I6" s="17">
        <f t="shared" ref="I6:I15" si="2">RANK(E6,$E$6:$E$15,0)+COUNTIF($E$6:E6,E6)-1</f>
        <v>7</v>
      </c>
      <c r="J6" s="17">
        <f t="shared" ref="J6:J15" si="3">RANK(F6,$F$6:$F$15,0)+COUNTIF($F$6:F6,F6)-1</f>
        <v>7</v>
      </c>
      <c r="K6" s="17">
        <f t="shared" ref="K6:K15" si="4">RANK(G6,$G$6:$G$15,0)+COUNTIF($G$6:G6,G6)-1</f>
        <v>1</v>
      </c>
      <c r="M6" s="17">
        <v>1.0</v>
      </c>
      <c r="N6" s="11" t="str">
        <f t="shared" ref="N6:N15" si="5">INDEX($B$6:$B$15,MATCH($M6,$J$6:$J$15,0))</f>
        <v>Bookshelf</v>
      </c>
      <c r="O6" s="18">
        <f t="shared" ref="O6:O15" si="6">INDEX($F$6:$F$15,MATCH($M6,$J$6:$J$15,0))</f>
        <v>102</v>
      </c>
      <c r="P6" s="28">
        <f t="shared" ref="P6:P15" si="7">INDEX($G$6:$G$15,MATCH($M6,$J$6:$J$15,0))</f>
        <v>15298.98</v>
      </c>
      <c r="Q6" s="18">
        <f t="shared" ref="Q6:Q15" si="8">INDEX($E$6:$E$15,MATCH($M6,$J$6:$J$15,0))</f>
        <v>35</v>
      </c>
    </row>
    <row r="7">
      <c r="A7" s="11" t="str">
        <f>Lists!C5</f>
        <v>P002</v>
      </c>
      <c r="B7" s="11" t="str">
        <f>Lists!D5</f>
        <v>Smartphone</v>
      </c>
      <c r="C7" s="11" t="str">
        <f t="array" ref="C7">INDEX(tx_Category,MATCH($B7,tx_Product,0))</f>
        <v>Electronics</v>
      </c>
      <c r="D7" s="26">
        <f t="array" ref="D7">INDEX(tx_Price,MATCH($B7,tx_Product,0))</f>
        <v>699.99</v>
      </c>
      <c r="E7" s="18">
        <f>COUNTIF(tx_Product,$B7)</f>
        <v>31</v>
      </c>
      <c r="F7" s="18">
        <f>SUMIF(tx_Product,$B7,tx_Qty)</f>
        <v>96</v>
      </c>
      <c r="G7" s="28">
        <f>SUMIF(tx_Product,$B7,tx_Total)</f>
        <v>67199.04</v>
      </c>
      <c r="H7" s="29">
        <f t="shared" si="1"/>
        <v>0.2931991614</v>
      </c>
      <c r="I7" s="17">
        <f t="shared" si="2"/>
        <v>3</v>
      </c>
      <c r="J7" s="17">
        <f t="shared" si="3"/>
        <v>2</v>
      </c>
      <c r="K7" s="17">
        <f t="shared" si="4"/>
        <v>2</v>
      </c>
      <c r="M7" s="17">
        <v>2.0</v>
      </c>
      <c r="N7" s="11" t="str">
        <f t="shared" si="5"/>
        <v>Smartphone</v>
      </c>
      <c r="O7" s="18">
        <f t="shared" si="6"/>
        <v>96</v>
      </c>
      <c r="P7" s="28">
        <f t="shared" si="7"/>
        <v>67199.04</v>
      </c>
      <c r="Q7" s="18">
        <f t="shared" si="8"/>
        <v>31</v>
      </c>
    </row>
    <row r="8">
      <c r="A8" s="11" t="str">
        <f>Lists!C6</f>
        <v>P003</v>
      </c>
      <c r="B8" s="11" t="str">
        <f>Lists!D6</f>
        <v>Headphones</v>
      </c>
      <c r="C8" s="11" t="str">
        <f t="array" ref="C8">INDEX(tx_Category,MATCH($B8,tx_Product,0))</f>
        <v>Electronics</v>
      </c>
      <c r="D8" s="26">
        <f t="array" ref="D8">INDEX(tx_Price,MATCH($B8,tx_Product,0))</f>
        <v>149.99</v>
      </c>
      <c r="E8" s="18">
        <f>COUNTIF(tx_Product,$B8)</f>
        <v>16</v>
      </c>
      <c r="F8" s="18">
        <f>SUMIF(tx_Product,$B8,tx_Qty)</f>
        <v>47</v>
      </c>
      <c r="G8" s="28">
        <f>SUMIF(tx_Product,$B8,tx_Total)</f>
        <v>7049.53</v>
      </c>
      <c r="H8" s="29">
        <f t="shared" si="1"/>
        <v>0.0307581222</v>
      </c>
      <c r="I8" s="17">
        <f t="shared" si="2"/>
        <v>8</v>
      </c>
      <c r="J8" s="17">
        <f t="shared" si="3"/>
        <v>9</v>
      </c>
      <c r="K8" s="17">
        <f t="shared" si="4"/>
        <v>8</v>
      </c>
      <c r="M8" s="17">
        <v>3.0</v>
      </c>
      <c r="N8" s="11" t="str">
        <f t="shared" si="5"/>
        <v>Keyboard</v>
      </c>
      <c r="O8" s="18">
        <f t="shared" si="6"/>
        <v>89</v>
      </c>
      <c r="P8" s="28">
        <f t="shared" si="7"/>
        <v>8009.11</v>
      </c>
      <c r="Q8" s="18">
        <f t="shared" si="8"/>
        <v>34</v>
      </c>
    </row>
    <row r="9">
      <c r="A9" s="11" t="str">
        <f>Lists!C7</f>
        <v>P004</v>
      </c>
      <c r="B9" s="11" t="str">
        <f>Lists!D7</f>
        <v>Coffee Maker</v>
      </c>
      <c r="C9" s="11" t="str">
        <f t="array" ref="C9">INDEX(tx_Category,MATCH($B9,tx_Product,0))</f>
        <v>Appliances</v>
      </c>
      <c r="D9" s="26">
        <f t="array" ref="D9">INDEX(tx_Price,MATCH($B9,tx_Product,0))</f>
        <v>79.99</v>
      </c>
      <c r="E9" s="18">
        <f>COUNTIF(tx_Product,$B9)</f>
        <v>14</v>
      </c>
      <c r="F9" s="18">
        <f>SUMIF(tx_Product,$B9,tx_Qty)</f>
        <v>39</v>
      </c>
      <c r="G9" s="28">
        <f>SUMIF(tx_Product,$B9,tx_Total)</f>
        <v>3119.61</v>
      </c>
      <c r="H9" s="29">
        <f t="shared" si="1"/>
        <v>0.01361131105</v>
      </c>
      <c r="I9" s="17">
        <f t="shared" si="2"/>
        <v>10</v>
      </c>
      <c r="J9" s="17">
        <f t="shared" si="3"/>
        <v>10</v>
      </c>
      <c r="K9" s="17">
        <f t="shared" si="4"/>
        <v>10</v>
      </c>
      <c r="M9" s="17">
        <v>4.0</v>
      </c>
      <c r="N9" s="11" t="str">
        <f t="shared" si="5"/>
        <v>Monitor</v>
      </c>
      <c r="O9" s="18">
        <f t="shared" si="6"/>
        <v>88</v>
      </c>
      <c r="P9" s="28">
        <f t="shared" si="7"/>
        <v>21999.12</v>
      </c>
      <c r="Q9" s="18">
        <f t="shared" si="8"/>
        <v>26</v>
      </c>
    </row>
    <row r="10">
      <c r="A10" s="11" t="str">
        <f>Lists!C8</f>
        <v>P005</v>
      </c>
      <c r="B10" s="11" t="str">
        <f>Lists!D8</f>
        <v>Blender</v>
      </c>
      <c r="C10" s="11" t="str">
        <f t="array" ref="C10">INDEX(tx_Category,MATCH($B10,tx_Product,0))</f>
        <v>Appliances</v>
      </c>
      <c r="D10" s="26">
        <f t="array" ref="D10">INDEX(tx_Price,MATCH($B10,tx_Product,0))</f>
        <v>59.99</v>
      </c>
      <c r="E10" s="18">
        <f>COUNTIF(tx_Product,$B10)</f>
        <v>29</v>
      </c>
      <c r="F10" s="18">
        <f>SUMIF(tx_Product,$B10,tx_Qty)</f>
        <v>87</v>
      </c>
      <c r="G10" s="28">
        <f>SUMIF(tx_Product,$B10,tx_Total)</f>
        <v>5219.13</v>
      </c>
      <c r="H10" s="29">
        <f t="shared" si="1"/>
        <v>0.02277182143</v>
      </c>
      <c r="I10" s="17">
        <f t="shared" si="2"/>
        <v>4</v>
      </c>
      <c r="J10" s="17">
        <f t="shared" si="3"/>
        <v>5</v>
      </c>
      <c r="K10" s="17">
        <f t="shared" si="4"/>
        <v>9</v>
      </c>
      <c r="M10" s="17">
        <v>5.0</v>
      </c>
      <c r="N10" s="11" t="str">
        <f t="shared" si="5"/>
        <v>Blender</v>
      </c>
      <c r="O10" s="18">
        <f t="shared" si="6"/>
        <v>87</v>
      </c>
      <c r="P10" s="28">
        <f t="shared" si="7"/>
        <v>5219.13</v>
      </c>
      <c r="Q10" s="18">
        <f t="shared" si="8"/>
        <v>29</v>
      </c>
    </row>
    <row r="11">
      <c r="A11" s="11" t="str">
        <f>Lists!C9</f>
        <v>P006</v>
      </c>
      <c r="B11" s="11" t="str">
        <f>Lists!D9</f>
        <v>Office Chair</v>
      </c>
      <c r="C11" s="11" t="str">
        <f t="array" ref="C11">INDEX(tx_Category,MATCH($B11,tx_Product,0))</f>
        <v>Furniture</v>
      </c>
      <c r="D11" s="26">
        <f t="array" ref="D11">INDEX(tx_Price,MATCH($B11,tx_Product,0))</f>
        <v>199.99</v>
      </c>
      <c r="E11" s="18">
        <f>COUNTIF(tx_Product,$B11)</f>
        <v>15</v>
      </c>
      <c r="F11" s="18">
        <f>SUMIF(tx_Product,$B11,tx_Qty)</f>
        <v>52</v>
      </c>
      <c r="G11" s="28">
        <f>SUMIF(tx_Product,$B11,tx_Total)</f>
        <v>10399.48</v>
      </c>
      <c r="H11" s="29">
        <f t="shared" si="1"/>
        <v>0.04537444009</v>
      </c>
      <c r="I11" s="17">
        <f t="shared" si="2"/>
        <v>9</v>
      </c>
      <c r="J11" s="17">
        <f t="shared" si="3"/>
        <v>8</v>
      </c>
      <c r="K11" s="17">
        <f t="shared" si="4"/>
        <v>6</v>
      </c>
      <c r="M11" s="17">
        <v>6.0</v>
      </c>
      <c r="N11" s="11" t="str">
        <f t="shared" si="5"/>
        <v>Desk</v>
      </c>
      <c r="O11" s="18">
        <f t="shared" si="6"/>
        <v>78</v>
      </c>
      <c r="P11" s="28">
        <f t="shared" si="7"/>
        <v>23399.22</v>
      </c>
      <c r="Q11" s="18">
        <f t="shared" si="8"/>
        <v>26</v>
      </c>
    </row>
    <row r="12">
      <c r="A12" s="11" t="str">
        <f>Lists!C10</f>
        <v>P007</v>
      </c>
      <c r="B12" s="11" t="str">
        <f>Lists!D10</f>
        <v>Desk</v>
      </c>
      <c r="C12" s="11" t="str">
        <f t="array" ref="C12">INDEX(tx_Category,MATCH($B12,tx_Product,0))</f>
        <v>Furniture</v>
      </c>
      <c r="D12" s="26">
        <f t="array" ref="D12">INDEX(tx_Price,MATCH($B12,tx_Product,0))</f>
        <v>299.99</v>
      </c>
      <c r="E12" s="18">
        <f>COUNTIF(tx_Product,$B12)</f>
        <v>26</v>
      </c>
      <c r="F12" s="18">
        <f>SUMIF(tx_Product,$B12,tx_Qty)</f>
        <v>78</v>
      </c>
      <c r="G12" s="28">
        <f>SUMIF(tx_Product,$B12,tx_Total)</f>
        <v>23399.22</v>
      </c>
      <c r="H12" s="29">
        <f t="shared" si="1"/>
        <v>0.1020941918</v>
      </c>
      <c r="I12" s="17">
        <f t="shared" si="2"/>
        <v>5</v>
      </c>
      <c r="J12" s="17">
        <f t="shared" si="3"/>
        <v>6</v>
      </c>
      <c r="K12" s="17">
        <f t="shared" si="4"/>
        <v>3</v>
      </c>
      <c r="M12" s="17">
        <v>7.0</v>
      </c>
      <c r="N12" s="11" t="str">
        <f t="shared" si="5"/>
        <v>Laptop</v>
      </c>
      <c r="O12" s="18">
        <f t="shared" si="6"/>
        <v>75</v>
      </c>
      <c r="P12" s="28">
        <f t="shared" si="7"/>
        <v>67499.25</v>
      </c>
      <c r="Q12" s="18">
        <f t="shared" si="8"/>
        <v>24</v>
      </c>
    </row>
    <row r="13">
      <c r="A13" s="11" t="str">
        <f>Lists!C11</f>
        <v>P008</v>
      </c>
      <c r="B13" s="11" t="str">
        <f>Lists!D11</f>
        <v>Bookshelf</v>
      </c>
      <c r="C13" s="11" t="str">
        <f t="array" ref="C13">INDEX(tx_Category,MATCH($B13,tx_Product,0))</f>
        <v>Furniture</v>
      </c>
      <c r="D13" s="26">
        <f t="array" ref="D13">INDEX(tx_Price,MATCH($B13,tx_Product,0))</f>
        <v>149.99</v>
      </c>
      <c r="E13" s="18">
        <f>COUNTIF(tx_Product,$B13)</f>
        <v>35</v>
      </c>
      <c r="F13" s="18">
        <f>SUMIF(tx_Product,$B13,tx_Qty)</f>
        <v>102</v>
      </c>
      <c r="G13" s="28">
        <f>SUMIF(tx_Product,$B13,tx_Total)</f>
        <v>15298.98</v>
      </c>
      <c r="H13" s="29">
        <f t="shared" si="1"/>
        <v>0.06675166946</v>
      </c>
      <c r="I13" s="17">
        <f t="shared" si="2"/>
        <v>1</v>
      </c>
      <c r="J13" s="17">
        <f t="shared" si="3"/>
        <v>1</v>
      </c>
      <c r="K13" s="17">
        <f t="shared" si="4"/>
        <v>5</v>
      </c>
      <c r="M13" s="17">
        <v>8.0</v>
      </c>
      <c r="N13" s="11" t="str">
        <f t="shared" si="5"/>
        <v>Office Chair</v>
      </c>
      <c r="O13" s="18">
        <f t="shared" si="6"/>
        <v>52</v>
      </c>
      <c r="P13" s="28">
        <f t="shared" si="7"/>
        <v>10399.48</v>
      </c>
      <c r="Q13" s="18">
        <f t="shared" si="8"/>
        <v>15</v>
      </c>
    </row>
    <row r="14">
      <c r="A14" s="11" t="str">
        <f>Lists!C12</f>
        <v>P009</v>
      </c>
      <c r="B14" s="11" t="str">
        <f>Lists!D12</f>
        <v>Monitor</v>
      </c>
      <c r="C14" s="11" t="str">
        <f t="array" ref="C14">INDEX(tx_Category,MATCH($B14,tx_Product,0))</f>
        <v>Electronics</v>
      </c>
      <c r="D14" s="26">
        <f t="array" ref="D14">INDEX(tx_Price,MATCH($B14,tx_Product,0))</f>
        <v>249.99</v>
      </c>
      <c r="E14" s="18">
        <f>COUNTIF(tx_Product,$B14)</f>
        <v>26</v>
      </c>
      <c r="F14" s="18">
        <f>SUMIF(tx_Product,$B14,tx_Qty)</f>
        <v>88</v>
      </c>
      <c r="G14" s="28">
        <f>SUMIF(tx_Product,$B14,tx_Total)</f>
        <v>21999.12</v>
      </c>
      <c r="H14" s="29">
        <f t="shared" si="1"/>
        <v>0.0959853524</v>
      </c>
      <c r="I14" s="17">
        <f t="shared" si="2"/>
        <v>6</v>
      </c>
      <c r="J14" s="17">
        <f t="shared" si="3"/>
        <v>4</v>
      </c>
      <c r="K14" s="17">
        <f t="shared" si="4"/>
        <v>4</v>
      </c>
      <c r="M14" s="17">
        <v>9.0</v>
      </c>
      <c r="N14" s="11" t="str">
        <f t="shared" si="5"/>
        <v>Headphones</v>
      </c>
      <c r="O14" s="18">
        <f t="shared" si="6"/>
        <v>47</v>
      </c>
      <c r="P14" s="28">
        <f t="shared" si="7"/>
        <v>7049.53</v>
      </c>
      <c r="Q14" s="18">
        <f t="shared" si="8"/>
        <v>16</v>
      </c>
    </row>
    <row r="15">
      <c r="A15" s="11" t="str">
        <f>Lists!C13</f>
        <v>P010</v>
      </c>
      <c r="B15" s="11" t="str">
        <f>Lists!D13</f>
        <v>Keyboard</v>
      </c>
      <c r="C15" s="11" t="str">
        <f t="array" ref="C15">INDEX(tx_Category,MATCH($B15,tx_Product,0))</f>
        <v>Electronics</v>
      </c>
      <c r="D15" s="26">
        <f t="array" ref="D15">INDEX(tx_Price,MATCH($B15,tx_Product,0))</f>
        <v>89.99</v>
      </c>
      <c r="E15" s="18">
        <f>COUNTIF(tx_Product,$B15)</f>
        <v>34</v>
      </c>
      <c r="F15" s="18">
        <f>SUMIF(tx_Product,$B15,tx_Qty)</f>
        <v>89</v>
      </c>
      <c r="G15" s="28">
        <f>SUMIF(tx_Product,$B15,tx_Total)</f>
        <v>8009.11</v>
      </c>
      <c r="H15" s="29">
        <f t="shared" si="1"/>
        <v>0.03494490897</v>
      </c>
      <c r="I15" s="17">
        <f t="shared" si="2"/>
        <v>2</v>
      </c>
      <c r="J15" s="17">
        <f t="shared" si="3"/>
        <v>3</v>
      </c>
      <c r="K15" s="17">
        <f t="shared" si="4"/>
        <v>7</v>
      </c>
      <c r="M15" s="17">
        <v>10.0</v>
      </c>
      <c r="N15" s="11" t="str">
        <f t="shared" si="5"/>
        <v>Coffee Maker</v>
      </c>
      <c r="O15" s="18">
        <f t="shared" si="6"/>
        <v>39</v>
      </c>
      <c r="P15" s="28">
        <f t="shared" si="7"/>
        <v>3119.61</v>
      </c>
      <c r="Q15" s="18">
        <f t="shared" si="8"/>
        <v>14</v>
      </c>
    </row>
    <row r="16">
      <c r="A16" s="31" t="s">
        <v>454</v>
      </c>
      <c r="E16" s="41">
        <f t="shared" ref="E16:H16" si="9">SUM(E6:E15)</f>
        <v>250</v>
      </c>
      <c r="F16" s="41">
        <f t="shared" si="9"/>
        <v>753</v>
      </c>
      <c r="G16" s="32">
        <f t="shared" si="9"/>
        <v>229192.47</v>
      </c>
      <c r="H16" s="33">
        <f t="shared" si="9"/>
        <v>1</v>
      </c>
    </row>
    <row r="19" ht="15.75" customHeight="1">
      <c r="A19" s="42" t="s">
        <v>461</v>
      </c>
      <c r="B19" s="31" t="str">
        <f t="array" ref="B19">INDEX($B$6:$B$15,MATCH(1,$I$6:$I$15,0))</f>
        <v>Bookshelf</v>
      </c>
      <c r="C19" s="18">
        <f>MAX($E$6:$E$15)</f>
        <v>35</v>
      </c>
    </row>
    <row r="20" ht="15.75" customHeight="1">
      <c r="A20" s="11" t="s">
        <v>462</v>
      </c>
      <c r="B20" s="31" t="str">
        <f t="array" ref="B20">INDEX($B$6:$B$15,MATCH(1,$J$6:$J$15,0))</f>
        <v>Bookshelf</v>
      </c>
      <c r="C20" s="18">
        <f>MAX($F$6:$F$15)</f>
        <v>102</v>
      </c>
    </row>
    <row r="21" ht="15.75" customHeight="1">
      <c r="A21" s="11" t="s">
        <v>463</v>
      </c>
      <c r="B21" s="31" t="str">
        <f t="array" ref="B21">INDEX($B$6:$B$15,MATCH(1,$K$6:$K$15,0))</f>
        <v>Laptop</v>
      </c>
      <c r="C21" s="28">
        <f>MAX($G$6:$G$15)</f>
        <v>67499.25</v>
      </c>
    </row>
    <row r="22" ht="15.75" customHeight="1">
      <c r="A22" s="11" t="s">
        <v>464</v>
      </c>
      <c r="B22" s="31" t="str">
        <f t="array" ref="B22">INDEX($B$6:$B$15,MATCH(10,$I$6:$I$15,0))</f>
        <v>Coffee Maker</v>
      </c>
      <c r="C22" s="18">
        <f>MIN($E$6:$E$15)</f>
        <v>14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20.0"/>
    <col customWidth="1" min="2" max="4" width="14.0"/>
    <col customWidth="1" min="5" max="6" width="16.0"/>
    <col customWidth="1" min="7" max="7" width="8.0"/>
    <col customWidth="1" min="8" max="9" width="3.0"/>
    <col customWidth="1" min="10" max="10" width="13.0"/>
    <col customWidth="1" min="11" max="13" width="14.0"/>
    <col customWidth="1" min="14" max="14" width="10.0"/>
    <col customWidth="1" min="15" max="15" width="12.0"/>
    <col customWidth="1" min="16" max="16" width="11.0"/>
    <col customWidth="1" min="17" max="17" width="10.0"/>
    <col customWidth="1" min="18" max="26" width="8.71"/>
  </cols>
  <sheetData>
    <row r="1">
      <c r="A1" s="1"/>
    </row>
    <row r="2">
      <c r="A2" s="23"/>
    </row>
    <row r="3">
      <c r="A3" s="6" t="s">
        <v>452</v>
      </c>
      <c r="J3" s="6" t="s">
        <v>453</v>
      </c>
    </row>
    <row r="4">
      <c r="A4" s="3" t="s">
        <v>1</v>
      </c>
      <c r="B4" s="3" t="str">
        <f>Lists!B4</f>
        <v>Appliances</v>
      </c>
      <c r="C4" s="3" t="str">
        <f>Lists!B5</f>
        <v>Electronics</v>
      </c>
      <c r="D4" s="3" t="str">
        <f>Lists!B6</f>
        <v>Furniture</v>
      </c>
      <c r="E4" s="3" t="s">
        <v>454</v>
      </c>
      <c r="J4" s="3" t="s">
        <v>455</v>
      </c>
      <c r="K4" s="3" t="s">
        <v>456</v>
      </c>
      <c r="L4" s="3" t="s">
        <v>317</v>
      </c>
      <c r="M4" s="3" t="s">
        <v>315</v>
      </c>
      <c r="N4" s="3" t="s">
        <v>316</v>
      </c>
      <c r="O4" s="5" t="s">
        <v>457</v>
      </c>
      <c r="P4" s="3" t="s">
        <v>458</v>
      </c>
      <c r="Q4" s="3" t="s">
        <v>459</v>
      </c>
    </row>
    <row r="5">
      <c r="A5" s="11" t="str">
        <f>Lists!A4</f>
        <v>Central</v>
      </c>
      <c r="B5" s="28">
        <f>SUMIFS(tx_Total,tx_Region,$A5,tx_Category,B$4)</f>
        <v>1999.71</v>
      </c>
      <c r="C5" s="28">
        <f>SUMIFS(tx_Total,tx_Region,$A5,tx_Category,C$4)</f>
        <v>24889.33</v>
      </c>
      <c r="D5" s="28">
        <f>SUMIFS(tx_Total,tx_Region,$A5,tx_Category,D$4)</f>
        <v>14399.3</v>
      </c>
      <c r="E5" s="32">
        <f t="shared" ref="E5:E9" si="1">SUM(B5:D5)</f>
        <v>41288.34</v>
      </c>
      <c r="J5" s="40">
        <f>DATE(YEAR(MIN(tx_Date)),MONTH(MIN(tx_Date)),1)</f>
        <v>45383</v>
      </c>
      <c r="K5" s="16">
        <f t="shared" ref="K5:K17" si="2">EOMONTH(J5,0)</f>
        <v>45412</v>
      </c>
      <c r="L5" s="28">
        <f>SUMIFS(tx_Total,tx_Date,"&gt;="&amp;J5,tx_Date,"&lt;="&amp;K5)</f>
        <v>20919.33</v>
      </c>
      <c r="M5" s="18">
        <f>COUNTIFS(tx_Date,"&gt;="&amp;J5,tx_Date,"&lt;="&amp;K5)</f>
        <v>21</v>
      </c>
      <c r="N5" s="18">
        <f>SUMIFS(tx_Qty,tx_Date,"&gt;="&amp;J5,tx_Date,"&lt;="&amp;K5)</f>
        <v>67</v>
      </c>
      <c r="O5" s="29"/>
      <c r="P5" s="19" t="str">
        <f>IF(AND(MIN(tx_Date)&lt;=J5,MAX(tx_Date)&gt;=K5),"Full","Partial")</f>
        <v>Partial</v>
      </c>
      <c r="Q5" s="19" t="str">
        <f t="shared" ref="Q5:Q17" si="3">TEXT(J5,"mmm-yy")</f>
        <v>Apr-24</v>
      </c>
    </row>
    <row r="6">
      <c r="A6" s="11" t="str">
        <f>Lists!A5</f>
        <v>East</v>
      </c>
      <c r="B6" s="28">
        <f>SUMIFS(tx_Total,tx_Region,$A6,tx_Category,B$4)</f>
        <v>2239.67</v>
      </c>
      <c r="C6" s="28">
        <f>SUMIFS(tx_Total,tx_Region,$A6,tx_Category,C$4)</f>
        <v>50649.01</v>
      </c>
      <c r="D6" s="28">
        <f>SUMIFS(tx_Total,tx_Region,$A6,tx_Category,D$4)</f>
        <v>6399.71</v>
      </c>
      <c r="E6" s="32">
        <f t="shared" si="1"/>
        <v>59288.39</v>
      </c>
      <c r="J6" s="40">
        <f t="shared" ref="J6:J17" si="4">EDATE(J5,1)</f>
        <v>45413</v>
      </c>
      <c r="K6" s="16">
        <f t="shared" si="2"/>
        <v>45443</v>
      </c>
      <c r="L6" s="28">
        <f>SUMIFS(tx_Total,tx_Date,"&gt;="&amp;J6,tx_Date,"&lt;="&amp;K6)</f>
        <v>17039.35</v>
      </c>
      <c r="M6" s="18">
        <f>COUNTIFS(tx_Date,"&gt;="&amp;J6,tx_Date,"&lt;="&amp;K6)</f>
        <v>19</v>
      </c>
      <c r="N6" s="18">
        <f>SUMIFS(tx_Qty,tx_Date,"&gt;="&amp;J6,tx_Date,"&lt;="&amp;K6)</f>
        <v>65</v>
      </c>
      <c r="O6" s="29">
        <f t="shared" ref="O6:O17" si="5">IF(L5=0,"",L6/L5-1)</f>
        <v>-0.1854734353</v>
      </c>
      <c r="P6" s="19" t="str">
        <f>IF(AND(MIN(tx_Date)&lt;=J6,MAX(tx_Date)&gt;=K6),"Full","Partial")</f>
        <v>Full</v>
      </c>
      <c r="Q6" s="19" t="str">
        <f t="shared" si="3"/>
        <v>May-24</v>
      </c>
    </row>
    <row r="7">
      <c r="A7" s="11" t="str">
        <f>Lists!A6</f>
        <v>North</v>
      </c>
      <c r="B7" s="28">
        <f>SUMIFS(tx_Total,tx_Region,$A7,tx_Category,B$4)</f>
        <v>1119.84</v>
      </c>
      <c r="C7" s="28">
        <f>SUMIFS(tx_Total,tx_Region,$A7,tx_Category,C$4)</f>
        <v>39239.04</v>
      </c>
      <c r="D7" s="28">
        <f>SUMIFS(tx_Total,tx_Region,$A7,tx_Category,D$4)</f>
        <v>10449.43</v>
      </c>
      <c r="E7" s="32">
        <f t="shared" si="1"/>
        <v>50808.31</v>
      </c>
      <c r="J7" s="40">
        <f t="shared" si="4"/>
        <v>45444</v>
      </c>
      <c r="K7" s="16">
        <f t="shared" si="2"/>
        <v>45473</v>
      </c>
      <c r="L7" s="28">
        <f>SUMIFS(tx_Total,tx_Date,"&gt;="&amp;J7,tx_Date,"&lt;="&amp;K7)</f>
        <v>19299.45</v>
      </c>
      <c r="M7" s="18">
        <f>COUNTIFS(tx_Date,"&gt;="&amp;J7,tx_Date,"&lt;="&amp;K7)</f>
        <v>19</v>
      </c>
      <c r="N7" s="18">
        <f>SUMIFS(tx_Qty,tx_Date,"&gt;="&amp;J7,tx_Date,"&lt;="&amp;K7)</f>
        <v>55</v>
      </c>
      <c r="O7" s="29">
        <f t="shared" si="5"/>
        <v>0.1326400362</v>
      </c>
      <c r="P7" s="19" t="str">
        <f>IF(AND(MIN(tx_Date)&lt;=J7,MAX(tx_Date)&gt;=K7),"Full","Partial")</f>
        <v>Full</v>
      </c>
      <c r="Q7" s="19" t="str">
        <f t="shared" si="3"/>
        <v>Jun-24</v>
      </c>
    </row>
    <row r="8">
      <c r="A8" s="11" t="str">
        <f>Lists!A7</f>
        <v>South</v>
      </c>
      <c r="B8" s="28">
        <f>SUMIFS(tx_Total,tx_Region,$A8,tx_Category,B$4)</f>
        <v>1099.83</v>
      </c>
      <c r="C8" s="28">
        <f>SUMIFS(tx_Total,tx_Region,$A8,tx_Category,C$4)</f>
        <v>25549.32</v>
      </c>
      <c r="D8" s="28">
        <f>SUMIFS(tx_Total,tx_Region,$A8,tx_Category,D$4)</f>
        <v>9749.6</v>
      </c>
      <c r="E8" s="32">
        <f t="shared" si="1"/>
        <v>36398.75</v>
      </c>
      <c r="J8" s="40">
        <f t="shared" si="4"/>
        <v>45474</v>
      </c>
      <c r="K8" s="16">
        <f t="shared" si="2"/>
        <v>45504</v>
      </c>
      <c r="L8" s="28">
        <f>SUMIFS(tx_Total,tx_Date,"&gt;="&amp;J8,tx_Date,"&lt;="&amp;K8)</f>
        <v>18479.4</v>
      </c>
      <c r="M8" s="18">
        <f>COUNTIFS(tx_Date,"&gt;="&amp;J8,tx_Date,"&lt;="&amp;K8)</f>
        <v>24</v>
      </c>
      <c r="N8" s="18">
        <f>SUMIFS(tx_Qty,tx_Date,"&gt;="&amp;J8,tx_Date,"&lt;="&amp;K8)</f>
        <v>60</v>
      </c>
      <c r="O8" s="29">
        <f t="shared" si="5"/>
        <v>-0.04249084818</v>
      </c>
      <c r="P8" s="19" t="str">
        <f>IF(AND(MIN(tx_Date)&lt;=J8,MAX(tx_Date)&gt;=K8),"Full","Partial")</f>
        <v>Full</v>
      </c>
      <c r="Q8" s="19" t="str">
        <f t="shared" si="3"/>
        <v>Jul-24</v>
      </c>
    </row>
    <row r="9">
      <c r="A9" s="11" t="str">
        <f>Lists!A8</f>
        <v>West</v>
      </c>
      <c r="B9" s="28">
        <f>SUMIFS(tx_Total,tx_Region,$A9,tx_Category,B$4)</f>
        <v>1879.69</v>
      </c>
      <c r="C9" s="28">
        <f>SUMIFS(tx_Total,tx_Region,$A9,tx_Category,C$4)</f>
        <v>31429.35</v>
      </c>
      <c r="D9" s="28">
        <f>SUMIFS(tx_Total,tx_Region,$A9,tx_Category,D$4)</f>
        <v>8099.64</v>
      </c>
      <c r="E9" s="32">
        <f t="shared" si="1"/>
        <v>41408.68</v>
      </c>
      <c r="J9" s="40">
        <f t="shared" si="4"/>
        <v>45505</v>
      </c>
      <c r="K9" s="16">
        <f t="shared" si="2"/>
        <v>45535</v>
      </c>
      <c r="L9" s="28">
        <f>SUMIFS(tx_Total,tx_Date,"&gt;="&amp;J9,tx_Date,"&lt;="&amp;K9)</f>
        <v>15759.43</v>
      </c>
      <c r="M9" s="18">
        <f>COUNTIFS(tx_Date,"&gt;="&amp;J9,tx_Date,"&lt;="&amp;K9)</f>
        <v>18</v>
      </c>
      <c r="N9" s="18">
        <f>SUMIFS(tx_Qty,tx_Date,"&gt;="&amp;J9,tx_Date,"&lt;="&amp;K9)</f>
        <v>57</v>
      </c>
      <c r="O9" s="29">
        <f t="shared" si="5"/>
        <v>-0.1471893027</v>
      </c>
      <c r="P9" s="19" t="str">
        <f>IF(AND(MIN(tx_Date)&lt;=J9,MAX(tx_Date)&gt;=K9),"Full","Partial")</f>
        <v>Full</v>
      </c>
      <c r="Q9" s="19" t="str">
        <f t="shared" si="3"/>
        <v>Aug-24</v>
      </c>
    </row>
    <row r="10">
      <c r="A10" s="31" t="s">
        <v>454</v>
      </c>
      <c r="B10" s="32">
        <f t="shared" ref="B10:E10" si="6">SUM(B5:B9)</f>
        <v>8338.74</v>
      </c>
      <c r="C10" s="32">
        <f t="shared" si="6"/>
        <v>171756.05</v>
      </c>
      <c r="D10" s="32">
        <f t="shared" si="6"/>
        <v>49097.68</v>
      </c>
      <c r="E10" s="32">
        <f t="shared" si="6"/>
        <v>229192.47</v>
      </c>
      <c r="J10" s="40">
        <f t="shared" si="4"/>
        <v>45536</v>
      </c>
      <c r="K10" s="16">
        <f t="shared" si="2"/>
        <v>45565</v>
      </c>
      <c r="L10" s="28">
        <f>SUMIFS(tx_Total,tx_Date,"&gt;="&amp;J10,tx_Date,"&lt;="&amp;K10)</f>
        <v>12989.51</v>
      </c>
      <c r="M10" s="18">
        <f>COUNTIFS(tx_Date,"&gt;="&amp;J10,tx_Date,"&lt;="&amp;K10)</f>
        <v>19</v>
      </c>
      <c r="N10" s="18">
        <f>SUMIFS(tx_Qty,tx_Date,"&gt;="&amp;J10,tx_Date,"&lt;="&amp;K10)</f>
        <v>49</v>
      </c>
      <c r="O10" s="29">
        <f t="shared" si="5"/>
        <v>-0.1757627021</v>
      </c>
      <c r="P10" s="19" t="str">
        <f>IF(AND(MIN(tx_Date)&lt;=J10,MAX(tx_Date)&gt;=K10),"Full","Partial")</f>
        <v>Full</v>
      </c>
      <c r="Q10" s="19" t="str">
        <f t="shared" si="3"/>
        <v>Sep-24</v>
      </c>
    </row>
    <row r="11">
      <c r="J11" s="40">
        <f t="shared" si="4"/>
        <v>45566</v>
      </c>
      <c r="K11" s="16">
        <f t="shared" si="2"/>
        <v>45596</v>
      </c>
      <c r="L11" s="28">
        <f>SUMIFS(tx_Total,tx_Date,"&gt;="&amp;J11,tx_Date,"&lt;="&amp;K11)</f>
        <v>20609.52</v>
      </c>
      <c r="M11" s="18">
        <f>COUNTIFS(tx_Date,"&gt;="&amp;J11,tx_Date,"&lt;="&amp;K11)</f>
        <v>16</v>
      </c>
      <c r="N11" s="18">
        <f>SUMIFS(tx_Qty,tx_Date,"&gt;="&amp;J11,tx_Date,"&lt;="&amp;K11)</f>
        <v>48</v>
      </c>
      <c r="O11" s="29">
        <f t="shared" si="5"/>
        <v>0.586627979</v>
      </c>
      <c r="P11" s="19" t="str">
        <f>IF(AND(MIN(tx_Date)&lt;=J11,MAX(tx_Date)&gt;=K11),"Full","Partial")</f>
        <v>Full</v>
      </c>
      <c r="Q11" s="19" t="str">
        <f t="shared" si="3"/>
        <v>Oct-24</v>
      </c>
    </row>
    <row r="12">
      <c r="J12" s="40">
        <f t="shared" si="4"/>
        <v>45597</v>
      </c>
      <c r="K12" s="16">
        <f t="shared" si="2"/>
        <v>45626</v>
      </c>
      <c r="L12" s="28">
        <f>SUMIFS(tx_Total,tx_Date,"&gt;="&amp;J12,tx_Date,"&lt;="&amp;K12)</f>
        <v>12309.44</v>
      </c>
      <c r="M12" s="18">
        <f>COUNTIFS(tx_Date,"&gt;="&amp;J12,tx_Date,"&lt;="&amp;K12)</f>
        <v>17</v>
      </c>
      <c r="N12" s="18">
        <f>SUMIFS(tx_Qty,tx_Date,"&gt;="&amp;J12,tx_Date,"&lt;="&amp;K12)</f>
        <v>56</v>
      </c>
      <c r="O12" s="29">
        <f t="shared" si="5"/>
        <v>-0.4027303887</v>
      </c>
      <c r="P12" s="19" t="str">
        <f>IF(AND(MIN(tx_Date)&lt;=J12,MAX(tx_Date)&gt;=K12),"Full","Partial")</f>
        <v>Full</v>
      </c>
      <c r="Q12" s="19" t="str">
        <f t="shared" si="3"/>
        <v>Nov-24</v>
      </c>
    </row>
    <row r="13">
      <c r="A13" s="6" t="s">
        <v>473</v>
      </c>
      <c r="J13" s="40">
        <f t="shared" si="4"/>
        <v>45627</v>
      </c>
      <c r="K13" s="16">
        <f t="shared" si="2"/>
        <v>45657</v>
      </c>
      <c r="L13" s="28">
        <f>SUMIFS(tx_Total,tx_Date,"&gt;="&amp;J13,tx_Date,"&lt;="&amp;K13)</f>
        <v>23039.3</v>
      </c>
      <c r="M13" s="18">
        <f>COUNTIFS(tx_Date,"&gt;="&amp;J13,tx_Date,"&lt;="&amp;K13)</f>
        <v>25</v>
      </c>
      <c r="N13" s="18">
        <f>SUMIFS(tx_Qty,tx_Date,"&gt;="&amp;J13,tx_Date,"&lt;="&amp;K13)</f>
        <v>70</v>
      </c>
      <c r="O13" s="29">
        <f t="shared" si="5"/>
        <v>0.8716773468</v>
      </c>
      <c r="P13" s="19" t="str">
        <f>IF(AND(MIN(tx_Date)&lt;=J13,MAX(tx_Date)&gt;=K13),"Full","Partial")</f>
        <v>Full</v>
      </c>
      <c r="Q13" s="19" t="str">
        <f t="shared" si="3"/>
        <v>Dec-24</v>
      </c>
    </row>
    <row r="14">
      <c r="A14" s="3" t="s">
        <v>1</v>
      </c>
      <c r="B14" s="3" t="s">
        <v>317</v>
      </c>
      <c r="C14" s="3" t="s">
        <v>315</v>
      </c>
      <c r="D14" s="3" t="s">
        <v>316</v>
      </c>
      <c r="E14" s="3" t="s">
        <v>318</v>
      </c>
      <c r="F14" s="3" t="s">
        <v>474</v>
      </c>
      <c r="G14" s="3" t="s">
        <v>320</v>
      </c>
      <c r="J14" s="40">
        <f t="shared" si="4"/>
        <v>45658</v>
      </c>
      <c r="K14" s="16">
        <f t="shared" si="2"/>
        <v>45688</v>
      </c>
      <c r="L14" s="28">
        <f>SUMIFS(tx_Total,tx_Date,"&gt;="&amp;J14,tx_Date,"&lt;="&amp;K14)</f>
        <v>25799.15</v>
      </c>
      <c r="M14" s="18">
        <f>COUNTIFS(tx_Date,"&gt;="&amp;J14,tx_Date,"&lt;="&amp;K14)</f>
        <v>26</v>
      </c>
      <c r="N14" s="18">
        <f>SUMIFS(tx_Qty,tx_Date,"&gt;="&amp;J14,tx_Date,"&lt;="&amp;K14)</f>
        <v>85</v>
      </c>
      <c r="O14" s="29">
        <f t="shared" si="5"/>
        <v>0.1197887957</v>
      </c>
      <c r="P14" s="19" t="str">
        <f>IF(AND(MIN(tx_Date)&lt;=J14,MAX(tx_Date)&gt;=K14),"Full","Partial")</f>
        <v>Full</v>
      </c>
      <c r="Q14" s="19" t="str">
        <f t="shared" si="3"/>
        <v>Jan-25</v>
      </c>
    </row>
    <row r="15">
      <c r="A15" s="11" t="str">
        <f>Lists!A4</f>
        <v>Central</v>
      </c>
      <c r="B15" s="28">
        <f>SUMIFS(tx_Total,tx_Region,$A15)</f>
        <v>41288.34</v>
      </c>
      <c r="C15" s="18">
        <f>COUNTIFS(tx_Region,$A15)</f>
        <v>54</v>
      </c>
      <c r="D15" s="18">
        <f>SUMIFS(tx_Qty,tx_Region,$A15)</f>
        <v>166</v>
      </c>
      <c r="E15" s="28">
        <f t="shared" ref="E15:E19" si="7">IF(C15=0,0,B15/C15)</f>
        <v>764.5988889</v>
      </c>
      <c r="F15" s="29">
        <f t="shared" ref="F15:F19" si="8">B15/$B$20</f>
        <v>0.1801470179</v>
      </c>
      <c r="G15" s="56">
        <f t="shared" ref="G15:G19" si="9">RANK(B15,$B$15:$B$19,0)+COUNTIF($B$15:B15,B15)-1</f>
        <v>4</v>
      </c>
      <c r="J15" s="40">
        <f t="shared" si="4"/>
        <v>45689</v>
      </c>
      <c r="K15" s="16">
        <f t="shared" si="2"/>
        <v>45716</v>
      </c>
      <c r="L15" s="28">
        <f>SUMIFS(tx_Total,tx_Date,"&gt;="&amp;J15,tx_Date,"&lt;="&amp;K15)</f>
        <v>16069.38</v>
      </c>
      <c r="M15" s="18">
        <f>COUNTIFS(tx_Date,"&gt;="&amp;J15,tx_Date,"&lt;="&amp;K15)</f>
        <v>20</v>
      </c>
      <c r="N15" s="18">
        <f>SUMIFS(tx_Qty,tx_Date,"&gt;="&amp;J15,tx_Date,"&lt;="&amp;K15)</f>
        <v>62</v>
      </c>
      <c r="O15" s="29">
        <f t="shared" si="5"/>
        <v>-0.3771352932</v>
      </c>
      <c r="P15" s="19" t="str">
        <f>IF(AND(MIN(tx_Date)&lt;=J15,MAX(tx_Date)&gt;=K15),"Full","Partial")</f>
        <v>Full</v>
      </c>
      <c r="Q15" s="19" t="str">
        <f t="shared" si="3"/>
        <v>Feb-25</v>
      </c>
    </row>
    <row r="16">
      <c r="A16" s="11" t="str">
        <f>Lists!A5</f>
        <v>East</v>
      </c>
      <c r="B16" s="28">
        <f>SUMIFS(tx_Total,tx_Region,$A16)</f>
        <v>59288.39</v>
      </c>
      <c r="C16" s="18">
        <f>COUNTIFS(tx_Region,$A16)</f>
        <v>48</v>
      </c>
      <c r="D16" s="18">
        <f>SUMIFS(tx_Qty,tx_Region,$A16)</f>
        <v>161</v>
      </c>
      <c r="E16" s="28">
        <f t="shared" si="7"/>
        <v>1235.174792</v>
      </c>
      <c r="F16" s="29">
        <f t="shared" si="8"/>
        <v>0.2586838477</v>
      </c>
      <c r="G16" s="56">
        <f t="shared" si="9"/>
        <v>1</v>
      </c>
      <c r="J16" s="40">
        <f t="shared" si="4"/>
        <v>45717</v>
      </c>
      <c r="K16" s="16">
        <f t="shared" si="2"/>
        <v>45747</v>
      </c>
      <c r="L16" s="28">
        <f>SUMIFS(tx_Total,tx_Date,"&gt;="&amp;J16,tx_Date,"&lt;="&amp;K16)</f>
        <v>19899.38</v>
      </c>
      <c r="M16" s="18">
        <f>COUNTIFS(tx_Date,"&gt;="&amp;J16,tx_Date,"&lt;="&amp;K16)</f>
        <v>19</v>
      </c>
      <c r="N16" s="18">
        <f>SUMIFS(tx_Qty,tx_Date,"&gt;="&amp;J16,tx_Date,"&lt;="&amp;K16)</f>
        <v>62</v>
      </c>
      <c r="O16" s="29">
        <f t="shared" si="5"/>
        <v>0.2383414917</v>
      </c>
      <c r="P16" s="19" t="str">
        <f>IF(AND(MIN(tx_Date)&lt;=J16,MAX(tx_Date)&gt;=K16),"Full","Partial")</f>
        <v>Full</v>
      </c>
      <c r="Q16" s="19" t="str">
        <f t="shared" si="3"/>
        <v>Mar-25</v>
      </c>
    </row>
    <row r="17">
      <c r="A17" s="11" t="str">
        <f>Lists!A6</f>
        <v>North</v>
      </c>
      <c r="B17" s="28">
        <f>SUMIFS(tx_Total,tx_Region,$A17)</f>
        <v>50808.31</v>
      </c>
      <c r="C17" s="18">
        <f>COUNTIFS(tx_Region,$A17)</f>
        <v>59</v>
      </c>
      <c r="D17" s="18">
        <f>SUMIFS(tx_Qty,tx_Region,$A17)</f>
        <v>169</v>
      </c>
      <c r="E17" s="28">
        <f t="shared" si="7"/>
        <v>861.1577966</v>
      </c>
      <c r="F17" s="29">
        <f t="shared" si="8"/>
        <v>0.2216840283</v>
      </c>
      <c r="G17" s="56">
        <f t="shared" si="9"/>
        <v>2</v>
      </c>
      <c r="J17" s="40">
        <f t="shared" si="4"/>
        <v>45748</v>
      </c>
      <c r="K17" s="16">
        <f t="shared" si="2"/>
        <v>45777</v>
      </c>
      <c r="L17" s="28">
        <f>SUMIFS(tx_Total,tx_Date,"&gt;="&amp;J17,tx_Date,"&lt;="&amp;K17)</f>
        <v>6979.83</v>
      </c>
      <c r="M17" s="18">
        <f>COUNTIFS(tx_Date,"&gt;="&amp;J17,tx_Date,"&lt;="&amp;K17)</f>
        <v>7</v>
      </c>
      <c r="N17" s="18">
        <f>SUMIFS(tx_Qty,tx_Date,"&gt;="&amp;J17,tx_Date,"&lt;="&amp;K17)</f>
        <v>17</v>
      </c>
      <c r="O17" s="29">
        <f t="shared" si="5"/>
        <v>-0.6492438458</v>
      </c>
      <c r="P17" s="19" t="str">
        <f>IF(AND(MIN(tx_Date)&lt;=J17,MAX(tx_Date)&gt;=K17),"Full","Partial")</f>
        <v>Partial</v>
      </c>
      <c r="Q17" s="19" t="str">
        <f t="shared" si="3"/>
        <v>Apr-25</v>
      </c>
    </row>
    <row r="18">
      <c r="A18" s="11" t="str">
        <f>Lists!A7</f>
        <v>South</v>
      </c>
      <c r="B18" s="28">
        <f>SUMIFS(tx_Total,tx_Region,$A18)</f>
        <v>36398.75</v>
      </c>
      <c r="C18" s="18">
        <f>COUNTIFS(tx_Region,$A18)</f>
        <v>42</v>
      </c>
      <c r="D18" s="18">
        <f>SUMIFS(tx_Qty,tx_Region,$A18)</f>
        <v>125</v>
      </c>
      <c r="E18" s="28">
        <f t="shared" si="7"/>
        <v>866.6369048</v>
      </c>
      <c r="F18" s="29">
        <f t="shared" si="8"/>
        <v>0.1588130273</v>
      </c>
      <c r="G18" s="56">
        <f t="shared" si="9"/>
        <v>5</v>
      </c>
      <c r="J18" s="31" t="s">
        <v>454</v>
      </c>
      <c r="K18" s="11"/>
      <c r="L18" s="32">
        <f t="shared" ref="L18:N18" si="10">SUM(L5:L17)</f>
        <v>229192.47</v>
      </c>
      <c r="M18" s="41">
        <f t="shared" si="10"/>
        <v>250</v>
      </c>
      <c r="N18" s="41">
        <f t="shared" si="10"/>
        <v>753</v>
      </c>
    </row>
    <row r="19">
      <c r="A19" s="11" t="str">
        <f>Lists!A8</f>
        <v>West</v>
      </c>
      <c r="B19" s="28">
        <f>SUMIFS(tx_Total,tx_Region,$A19)</f>
        <v>41408.68</v>
      </c>
      <c r="C19" s="18">
        <f>COUNTIFS(tx_Region,$A19)</f>
        <v>47</v>
      </c>
      <c r="D19" s="18">
        <f>SUMIFS(tx_Qty,tx_Region,$A19)</f>
        <v>132</v>
      </c>
      <c r="E19" s="28">
        <f t="shared" si="7"/>
        <v>881.0357447</v>
      </c>
      <c r="F19" s="29">
        <f t="shared" si="8"/>
        <v>0.1806720788</v>
      </c>
      <c r="G19" s="56">
        <f t="shared" si="9"/>
        <v>3</v>
      </c>
    </row>
    <row r="20">
      <c r="A20" s="31" t="s">
        <v>454</v>
      </c>
      <c r="B20" s="32">
        <f t="shared" ref="B20:D20" si="11">SUM(B15:B19)</f>
        <v>229192.47</v>
      </c>
      <c r="C20" s="41">
        <f t="shared" si="11"/>
        <v>250</v>
      </c>
      <c r="D20" s="41">
        <f t="shared" si="11"/>
        <v>753</v>
      </c>
      <c r="E20" s="32">
        <f>B20/C20</f>
        <v>916.76988</v>
      </c>
      <c r="F20" s="33">
        <f>SUM(F15:F19)</f>
        <v>1</v>
      </c>
      <c r="J20" s="23"/>
    </row>
    <row r="21" ht="15.75" customHeight="1"/>
    <row r="22" ht="15.75" customHeight="1"/>
    <row r="23" ht="15.75" customHeight="1">
      <c r="A23" s="6" t="s">
        <v>492</v>
      </c>
    </row>
    <row r="24" ht="15.75" customHeight="1">
      <c r="A24" s="3" t="s">
        <v>2</v>
      </c>
      <c r="B24" s="3" t="s">
        <v>317</v>
      </c>
      <c r="C24" s="3" t="s">
        <v>315</v>
      </c>
      <c r="D24" s="3" t="s">
        <v>316</v>
      </c>
      <c r="E24" s="3" t="s">
        <v>318</v>
      </c>
      <c r="F24" s="3" t="s">
        <v>474</v>
      </c>
    </row>
    <row r="25" ht="15.75" customHeight="1">
      <c r="A25" s="11" t="str">
        <f>Lists!B4</f>
        <v>Appliances</v>
      </c>
      <c r="B25" s="28">
        <f>SUMIFS(tx_Total,tx_Category,$A25)</f>
        <v>8338.74</v>
      </c>
      <c r="C25" s="18">
        <f>COUNTIFS(tx_Category,$A25)</f>
        <v>43</v>
      </c>
      <c r="D25" s="18">
        <f>SUMIFS(tx_Qty,tx_Category,$A25)</f>
        <v>126</v>
      </c>
      <c r="E25" s="28">
        <f t="shared" ref="E25:E27" si="12">IF(C25=0,0,B25/C25)</f>
        <v>193.924186</v>
      </c>
      <c r="F25" s="29">
        <f t="shared" ref="F25:F27" si="13">B25/B$28</f>
        <v>0.03638313248</v>
      </c>
    </row>
    <row r="26" ht="15.75" customHeight="1">
      <c r="A26" s="11" t="str">
        <f>Lists!B5</f>
        <v>Electronics</v>
      </c>
      <c r="B26" s="28">
        <f>SUMIFS(tx_Total,tx_Category,$A26)</f>
        <v>171756.05</v>
      </c>
      <c r="C26" s="18">
        <f>COUNTIFS(tx_Category,$A26)</f>
        <v>131</v>
      </c>
      <c r="D26" s="18">
        <f>SUMIFS(tx_Qty,tx_Category,$A26)</f>
        <v>395</v>
      </c>
      <c r="E26" s="28">
        <f t="shared" si="12"/>
        <v>1311.114885</v>
      </c>
      <c r="F26" s="29">
        <f t="shared" si="13"/>
        <v>0.7493965661</v>
      </c>
    </row>
    <row r="27" ht="15.75" customHeight="1">
      <c r="A27" s="11" t="str">
        <f>Lists!B6</f>
        <v>Furniture</v>
      </c>
      <c r="B27" s="28">
        <f>SUMIFS(tx_Total,tx_Category,$A27)</f>
        <v>49097.68</v>
      </c>
      <c r="C27" s="18">
        <f>COUNTIFS(tx_Category,$A27)</f>
        <v>76</v>
      </c>
      <c r="D27" s="18">
        <f>SUMIFS(tx_Qty,tx_Category,$A27)</f>
        <v>232</v>
      </c>
      <c r="E27" s="28">
        <f t="shared" si="12"/>
        <v>646.0221053</v>
      </c>
      <c r="F27" s="29">
        <f t="shared" si="13"/>
        <v>0.2142203014</v>
      </c>
    </row>
    <row r="28" ht="15.75" customHeight="1">
      <c r="A28" s="31" t="s">
        <v>454</v>
      </c>
      <c r="B28" s="32">
        <f t="shared" ref="B28:D28" si="14">SUM(B25:B27)</f>
        <v>229192.47</v>
      </c>
      <c r="C28" s="41">
        <f t="shared" si="14"/>
        <v>250</v>
      </c>
      <c r="D28" s="41">
        <f t="shared" si="14"/>
        <v>753</v>
      </c>
      <c r="E28" s="32">
        <f>B28/C28</f>
        <v>916.76988</v>
      </c>
      <c r="F28" s="33">
        <f>SUM(F25:F27)</f>
        <v>1</v>
      </c>
    </row>
    <row r="29" ht="15.75" customHeight="1"/>
    <row r="30" ht="15.75" customHeight="1"/>
    <row r="31" ht="15.75" customHeight="1">
      <c r="A31" s="6" t="s">
        <v>495</v>
      </c>
    </row>
    <row r="32" ht="15.75" customHeight="1">
      <c r="A32" s="3" t="s">
        <v>5</v>
      </c>
      <c r="B32" s="3" t="s">
        <v>317</v>
      </c>
      <c r="C32" s="3" t="s">
        <v>315</v>
      </c>
      <c r="D32" s="3" t="s">
        <v>316</v>
      </c>
      <c r="E32" s="3" t="s">
        <v>318</v>
      </c>
      <c r="F32" s="3" t="s">
        <v>474</v>
      </c>
    </row>
    <row r="33" ht="15.75" customHeight="1">
      <c r="A33" s="11" t="str">
        <f>Lists!E4</f>
        <v>Cash</v>
      </c>
      <c r="B33" s="28">
        <f>SUMIFS(tx_Total,tx_Pay,$A33)</f>
        <v>57427.79</v>
      </c>
      <c r="C33" s="18">
        <f>COUNTIFS(tx_Pay,$A33)</f>
        <v>76</v>
      </c>
      <c r="D33" s="18">
        <f>SUMIFS(tx_Qty,tx_Pay,$A33)</f>
        <v>221</v>
      </c>
      <c r="E33" s="28">
        <f t="shared" ref="E33:E36" si="15">IF(C33=0,0,B33/C33)</f>
        <v>755.6288158</v>
      </c>
      <c r="F33" s="29">
        <f t="shared" ref="F33:F36" si="16">B33/B$37</f>
        <v>0.2505657799</v>
      </c>
    </row>
    <row r="34" ht="15.75" customHeight="1">
      <c r="A34" s="11" t="str">
        <f>Lists!E5</f>
        <v>Credit Card</v>
      </c>
      <c r="B34" s="28">
        <f>SUMIFS(tx_Total,tx_Pay,$A34)</f>
        <v>61447.96</v>
      </c>
      <c r="C34" s="18">
        <f>COUNTIFS(tx_Pay,$A34)</f>
        <v>68</v>
      </c>
      <c r="D34" s="18">
        <f>SUMIFS(tx_Qty,tx_Pay,$A34)</f>
        <v>204</v>
      </c>
      <c r="E34" s="28">
        <f t="shared" si="15"/>
        <v>903.6464706</v>
      </c>
      <c r="F34" s="29">
        <f t="shared" si="16"/>
        <v>0.2681063649</v>
      </c>
    </row>
    <row r="35" ht="15.75" customHeight="1">
      <c r="A35" s="11" t="str">
        <f>Lists!E6</f>
        <v>Debit Card</v>
      </c>
      <c r="B35" s="28">
        <f>SUMIFS(tx_Total,tx_Pay,$A35)</f>
        <v>52118.31</v>
      </c>
      <c r="C35" s="18">
        <f>COUNTIFS(tx_Pay,$A35)</f>
        <v>54</v>
      </c>
      <c r="D35" s="18">
        <f>SUMIFS(tx_Qty,tx_Pay,$A35)</f>
        <v>169</v>
      </c>
      <c r="E35" s="28">
        <f t="shared" si="15"/>
        <v>965.1538889</v>
      </c>
      <c r="F35" s="29">
        <f t="shared" si="16"/>
        <v>0.2273997483</v>
      </c>
    </row>
    <row r="36" ht="15.75" customHeight="1">
      <c r="A36" s="11" t="str">
        <f>Lists!E7</f>
        <v>PayPal</v>
      </c>
      <c r="B36" s="28">
        <f>SUMIFS(tx_Total,tx_Pay,$A36)</f>
        <v>58198.41</v>
      </c>
      <c r="C36" s="18">
        <f>COUNTIFS(tx_Pay,$A36)</f>
        <v>52</v>
      </c>
      <c r="D36" s="18">
        <f>SUMIFS(tx_Qty,tx_Pay,$A36)</f>
        <v>159</v>
      </c>
      <c r="E36" s="28">
        <f t="shared" si="15"/>
        <v>1119.200192</v>
      </c>
      <c r="F36" s="29">
        <f t="shared" si="16"/>
        <v>0.2539281068</v>
      </c>
    </row>
    <row r="37" ht="15.75" customHeight="1">
      <c r="A37" s="31" t="s">
        <v>454</v>
      </c>
      <c r="B37" s="32">
        <f t="shared" ref="B37:D37" si="17">SUM(B33:B36)</f>
        <v>229192.47</v>
      </c>
      <c r="C37" s="41">
        <f t="shared" si="17"/>
        <v>250</v>
      </c>
      <c r="D37" s="41">
        <f t="shared" si="17"/>
        <v>753</v>
      </c>
      <c r="E37" s="32">
        <f>B37/C37</f>
        <v>916.76988</v>
      </c>
      <c r="F37" s="33">
        <f>SUM(F33:F36)</f>
        <v>1</v>
      </c>
    </row>
    <row r="38" ht="15.75" customHeight="1"/>
    <row r="39" ht="15.75" customHeight="1"/>
    <row r="40" ht="15.75" customHeight="1">
      <c r="A40" s="6" t="s">
        <v>499</v>
      </c>
    </row>
    <row r="41" ht="15.75" customHeight="1">
      <c r="A41" s="3" t="s">
        <v>6</v>
      </c>
      <c r="B41" s="3" t="s">
        <v>317</v>
      </c>
      <c r="C41" s="3" t="s">
        <v>315</v>
      </c>
      <c r="D41" s="3" t="s">
        <v>316</v>
      </c>
      <c r="E41" s="3" t="s">
        <v>318</v>
      </c>
      <c r="F41" s="3" t="s">
        <v>474</v>
      </c>
    </row>
    <row r="42" ht="15.75" customHeight="1">
      <c r="A42" s="11" t="str">
        <f>Lists!F4</f>
        <v>Basic</v>
      </c>
      <c r="B42" s="28">
        <f>SUMIFS(tx_Total,tx_Segment,$A42)</f>
        <v>62177.81</v>
      </c>
      <c r="C42" s="18">
        <f>COUNTIFS(tx_Segment,$A42)</f>
        <v>74</v>
      </c>
      <c r="D42" s="18">
        <f>SUMIFS(tx_Qty,tx_Segment,$A42)</f>
        <v>219</v>
      </c>
      <c r="E42" s="28">
        <f t="shared" ref="E42:E44" si="18">IF(C42=0,0,B42/C42)</f>
        <v>840.2406757</v>
      </c>
      <c r="F42" s="29">
        <f t="shared" ref="F42:F44" si="19">B42/B$45</f>
        <v>0.2712908064</v>
      </c>
    </row>
    <row r="43" ht="15.75" customHeight="1">
      <c r="A43" s="11" t="str">
        <f>Lists!F5</f>
        <v>Premium</v>
      </c>
      <c r="B43" s="28">
        <f>SUMIFS(tx_Total,tx_Segment,$A43)</f>
        <v>84657.12</v>
      </c>
      <c r="C43" s="18">
        <f>COUNTIFS(tx_Segment,$A43)</f>
        <v>95</v>
      </c>
      <c r="D43" s="18">
        <f>SUMIFS(tx_Qty,tx_Segment,$A43)</f>
        <v>288</v>
      </c>
      <c r="E43" s="28">
        <f t="shared" si="18"/>
        <v>891.1275789</v>
      </c>
      <c r="F43" s="29">
        <f t="shared" si="19"/>
        <v>0.3693712974</v>
      </c>
    </row>
    <row r="44" ht="15.75" customHeight="1">
      <c r="A44" s="11" t="str">
        <f>Lists!F6</f>
        <v>Standard</v>
      </c>
      <c r="B44" s="28">
        <f>SUMIFS(tx_Total,tx_Segment,$A44)</f>
        <v>82357.54</v>
      </c>
      <c r="C44" s="18">
        <f>COUNTIFS(tx_Segment,$A44)</f>
        <v>81</v>
      </c>
      <c r="D44" s="18">
        <f>SUMIFS(tx_Qty,tx_Segment,$A44)</f>
        <v>246</v>
      </c>
      <c r="E44" s="28">
        <f t="shared" si="18"/>
        <v>1016.759753</v>
      </c>
      <c r="F44" s="29">
        <f t="shared" si="19"/>
        <v>0.3593378962</v>
      </c>
    </row>
    <row r="45" ht="15.75" customHeight="1">
      <c r="A45" s="31" t="s">
        <v>454</v>
      </c>
      <c r="B45" s="32">
        <f t="shared" ref="B45:D45" si="20">SUM(B42:B44)</f>
        <v>229192.47</v>
      </c>
      <c r="C45" s="41">
        <f t="shared" si="20"/>
        <v>250</v>
      </c>
      <c r="D45" s="41">
        <f t="shared" si="20"/>
        <v>753</v>
      </c>
      <c r="E45" s="32">
        <f>B45/C45</f>
        <v>916.76988</v>
      </c>
      <c r="F45" s="33">
        <f>SUM(F42:F44)</f>
        <v>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5:P17">
    <cfRule type="expression" dxfId="1" priority="1">
      <formula>$P5="Partial"</formula>
    </cfRule>
  </conditionalFormatting>
  <printOptions/>
  <pageMargins bottom="1.0" footer="0.0" header="0.0" left="0.75" right="0.75" top="1.0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0.0"/>
    <col customWidth="1" min="2" max="2" width="15.0"/>
    <col customWidth="1" min="3" max="3" width="13.0"/>
    <col customWidth="1" min="4" max="4" width="18.0"/>
    <col customWidth="1" min="5" max="5" width="15.0"/>
    <col customWidth="1" min="6" max="6" width="13.0"/>
    <col customWidth="1" min="7" max="7" width="11.0"/>
    <col customWidth="1" min="8" max="8" width="10.0"/>
    <col customWidth="1" min="9" max="9" width="14.0"/>
    <col customWidth="1" min="10" max="10" width="11.0"/>
    <col customWidth="1" min="11" max="11" width="13.71"/>
    <col customWidth="1" min="12" max="12" width="11.0"/>
    <col customWidth="1" min="13" max="13" width="12.0"/>
    <col customWidth="1" min="14" max="14" width="14.0"/>
    <col customWidth="1" min="15" max="26" width="8.71"/>
  </cols>
  <sheetData>
    <row r="1">
      <c r="A1" s="1"/>
    </row>
    <row r="2">
      <c r="A2" s="23"/>
    </row>
    <row r="3">
      <c r="A3" s="24" t="s">
        <v>1</v>
      </c>
      <c r="B3" s="43" t="s">
        <v>43</v>
      </c>
      <c r="D3" s="44"/>
    </row>
    <row r="4">
      <c r="A4" s="24" t="s">
        <v>2</v>
      </c>
      <c r="B4" s="43" t="s">
        <v>42</v>
      </c>
      <c r="D4" s="23"/>
    </row>
    <row r="5">
      <c r="A5" s="45" t="s">
        <v>465</v>
      </c>
      <c r="B5" s="46">
        <v>2000.0</v>
      </c>
      <c r="D5" s="23"/>
    </row>
    <row r="6">
      <c r="A6" s="24" t="s">
        <v>466</v>
      </c>
      <c r="B6" s="41">
        <f>MAX($N$10:$N$259)</f>
        <v>11</v>
      </c>
    </row>
    <row r="7">
      <c r="A7" s="24" t="s">
        <v>467</v>
      </c>
      <c r="B7" s="32">
        <f>SUMPRODUCT($M$10:$M$259,tx_Total)</f>
        <v>38899.53</v>
      </c>
    </row>
    <row r="9">
      <c r="A9" s="5" t="s">
        <v>468</v>
      </c>
      <c r="B9" s="3" t="s">
        <v>22</v>
      </c>
      <c r="C9" s="3" t="s">
        <v>24</v>
      </c>
      <c r="D9" s="3" t="s">
        <v>8</v>
      </c>
      <c r="E9" s="3" t="s">
        <v>4</v>
      </c>
      <c r="F9" s="3" t="s">
        <v>2</v>
      </c>
      <c r="G9" s="3" t="s">
        <v>1</v>
      </c>
      <c r="H9" s="3" t="s">
        <v>27</v>
      </c>
      <c r="I9" s="3" t="s">
        <v>33</v>
      </c>
      <c r="J9" s="3" t="s">
        <v>469</v>
      </c>
      <c r="L9" s="3" t="s">
        <v>470</v>
      </c>
      <c r="M9" s="3" t="s">
        <v>471</v>
      </c>
      <c r="N9" s="3" t="s">
        <v>472</v>
      </c>
    </row>
    <row r="10">
      <c r="A10" s="47">
        <f t="shared" ref="A10:A259" si="1">IF(ROWS($A$10:A10)&lt;=$B$6,ROWS($A$10:A10),"")</f>
        <v>1</v>
      </c>
      <c r="B10" s="48" t="str">
        <f t="array" ref="B10">IF($J10="","",INDEX(tx_ID,$J10))</f>
        <v>TRX0135</v>
      </c>
      <c r="C10" s="49">
        <f t="array" ref="C10">IF($J10="","",INDEX(tx_Date,$J10))</f>
        <v>45405</v>
      </c>
      <c r="D10" s="48" t="str">
        <f t="array" ref="D10">IF($J10="","",INDEX(tx_CustName,$J10))</f>
        <v>Robert Thomas</v>
      </c>
      <c r="E10" s="48" t="str">
        <f t="array" ref="E10">IF($J10="","",INDEX(tx_Product,$J10))</f>
        <v>Laptop</v>
      </c>
      <c r="F10" s="48" t="str">
        <f t="array" ref="F10">IF($J10="","",INDEX(tx_Category,$J10))</f>
        <v>Electronics</v>
      </c>
      <c r="G10" s="48" t="str">
        <f t="array" ref="G10">IF($J10="","",INDEX(tx_Region,$J10))</f>
        <v>East</v>
      </c>
      <c r="H10" s="50">
        <f t="array" ref="H10">IF($J10="","",INDEX(tx_Qty,$J10))</f>
        <v>3</v>
      </c>
      <c r="I10" s="51">
        <f t="array" ref="I10">IF($J10="","",INDEX(tx_Total,$J10))</f>
        <v>2699.97</v>
      </c>
      <c r="J10" s="52">
        <f t="shared" ref="J10:J259" si="2">IF($A10="","",MATCH($A10,$N$10:$N$259,0))</f>
        <v>9</v>
      </c>
      <c r="L10" s="53">
        <f t="shared" ref="L10:L259" si="3">ROW()-ROW($L$9)</f>
        <v>1</v>
      </c>
      <c r="M10" s="53">
        <f t="array" ref="M10">IF(AND(OR($B$3="All",INDEX(tx_Region,L10)=$B$3),OR($B$4="All",INDEX(tx_Category,L10)=$B$4),INDEX(tx_Total,L10)&gt;=$B$5),1,0)</f>
        <v>0</v>
      </c>
      <c r="N10" s="53">
        <f>M10</f>
        <v>0</v>
      </c>
    </row>
    <row r="11">
      <c r="A11" s="47">
        <f t="shared" si="1"/>
        <v>2</v>
      </c>
      <c r="B11" s="48" t="str">
        <f t="array" ref="B11">IF($J11="","",INDEX(tx_ID,$J11))</f>
        <v>TRX0239</v>
      </c>
      <c r="C11" s="49">
        <f t="array" ref="C11">IF($J11="","",INDEX(tx_Date,$J11))</f>
        <v>45413</v>
      </c>
      <c r="D11" s="48" t="str">
        <f t="array" ref="D11">IF($J11="","",INDEX(tx_CustName,$J11))</f>
        <v>Patricia Moore</v>
      </c>
      <c r="E11" s="48" t="str">
        <f t="array" ref="E11">IF($J11="","",INDEX(tx_Product,$J11))</f>
        <v>Smartphone</v>
      </c>
      <c r="F11" s="48" t="str">
        <f t="array" ref="F11">IF($J11="","",INDEX(tx_Category,$J11))</f>
        <v>Electronics</v>
      </c>
      <c r="G11" s="48" t="str">
        <f t="array" ref="G11">IF($J11="","",INDEX(tx_Region,$J11))</f>
        <v>East</v>
      </c>
      <c r="H11" s="50">
        <f t="array" ref="H11">IF($J11="","",INDEX(tx_Qty,$J11))</f>
        <v>4</v>
      </c>
      <c r="I11" s="51">
        <f t="array" ref="I11">IF($J11="","",INDEX(tx_Total,$J11))</f>
        <v>2799.96</v>
      </c>
      <c r="J11" s="52">
        <f t="shared" si="2"/>
        <v>22</v>
      </c>
      <c r="L11" s="53">
        <f t="shared" si="3"/>
        <v>2</v>
      </c>
      <c r="M11" s="53">
        <f t="array" ref="M11">IF(AND(OR($B$3="All",INDEX(tx_Region,L11)=$B$3),OR($B$4="All",INDEX(tx_Category,L11)=$B$4),INDEX(tx_Total,L11)&gt;=$B$5),1,0)</f>
        <v>0</v>
      </c>
      <c r="N11" s="53">
        <f t="shared" ref="N11:N259" si="4">N10+M11</f>
        <v>0</v>
      </c>
    </row>
    <row r="12">
      <c r="A12" s="47">
        <f t="shared" si="1"/>
        <v>3</v>
      </c>
      <c r="B12" s="48" t="str">
        <f t="array" ref="B12">IF($J12="","",INDEX(tx_ID,$J12))</f>
        <v>TRX0044</v>
      </c>
      <c r="C12" s="49">
        <f t="array" ref="C12">IF($J12="","",INDEX(tx_Date,$J12))</f>
        <v>45459</v>
      </c>
      <c r="D12" s="48" t="str">
        <f t="array" ref="D12">IF($J12="","",INDEX(tx_CustName,$J12))</f>
        <v>Edward Mitchell</v>
      </c>
      <c r="E12" s="48" t="str">
        <f t="array" ref="E12">IF($J12="","",INDEX(tx_Product,$J12))</f>
        <v>Laptop</v>
      </c>
      <c r="F12" s="48" t="str">
        <f t="array" ref="F12">IF($J12="","",INDEX(tx_Category,$J12))</f>
        <v>Electronics</v>
      </c>
      <c r="G12" s="48" t="str">
        <f t="array" ref="G12">IF($J12="","",INDEX(tx_Region,$J12))</f>
        <v>East</v>
      </c>
      <c r="H12" s="50">
        <f t="array" ref="H12">IF($J12="","",INDEX(tx_Qty,$J12))</f>
        <v>5</v>
      </c>
      <c r="I12" s="51">
        <f t="array" ref="I12">IF($J12="","",INDEX(tx_Total,$J12))</f>
        <v>4499.95</v>
      </c>
      <c r="J12" s="52">
        <f t="shared" si="2"/>
        <v>51</v>
      </c>
      <c r="L12" s="53">
        <f t="shared" si="3"/>
        <v>3</v>
      </c>
      <c r="M12" s="53">
        <f t="array" ref="M12">IF(AND(OR($B$3="All",INDEX(tx_Region,L12)=$B$3),OR($B$4="All",INDEX(tx_Category,L12)=$B$4),INDEX(tx_Total,L12)&gt;=$B$5),1,0)</f>
        <v>0</v>
      </c>
      <c r="N12" s="53">
        <f t="shared" si="4"/>
        <v>0</v>
      </c>
    </row>
    <row r="13">
      <c r="A13" s="47">
        <f t="shared" si="1"/>
        <v>4</v>
      </c>
      <c r="B13" s="48" t="str">
        <f t="array" ref="B13">IF($J13="","",INDEX(tx_ID,$J13))</f>
        <v>TRX0184</v>
      </c>
      <c r="C13" s="49">
        <f t="array" ref="C13">IF($J13="","",INDEX(tx_Date,$J13))</f>
        <v>45471</v>
      </c>
      <c r="D13" s="48" t="str">
        <f t="array" ref="D13">IF($J13="","",INDEX(tx_CustName,$J13))</f>
        <v>Kathleen Bennett</v>
      </c>
      <c r="E13" s="48" t="str">
        <f t="array" ref="E13">IF($J13="","",INDEX(tx_Product,$J13))</f>
        <v>Smartphone</v>
      </c>
      <c r="F13" s="48" t="str">
        <f t="array" ref="F13">IF($J13="","",INDEX(tx_Category,$J13))</f>
        <v>Electronics</v>
      </c>
      <c r="G13" s="48" t="str">
        <f t="array" ref="G13">IF($J13="","",INDEX(tx_Region,$J13))</f>
        <v>East</v>
      </c>
      <c r="H13" s="50">
        <f t="array" ref="H13">IF($J13="","",INDEX(tx_Qty,$J13))</f>
        <v>3</v>
      </c>
      <c r="I13" s="51">
        <f t="array" ref="I13">IF($J13="","",INDEX(tx_Total,$J13))</f>
        <v>2099.97</v>
      </c>
      <c r="J13" s="52">
        <f t="shared" si="2"/>
        <v>57</v>
      </c>
      <c r="L13" s="53">
        <f t="shared" si="3"/>
        <v>4</v>
      </c>
      <c r="M13" s="53">
        <f t="array" ref="M13">IF(AND(OR($B$3="All",INDEX(tx_Region,L13)=$B$3),OR($B$4="All",INDEX(tx_Category,L13)=$B$4),INDEX(tx_Total,L13)&gt;=$B$5),1,0)</f>
        <v>0</v>
      </c>
      <c r="N13" s="53">
        <f t="shared" si="4"/>
        <v>0</v>
      </c>
    </row>
    <row r="14">
      <c r="A14" s="47">
        <f t="shared" si="1"/>
        <v>5</v>
      </c>
      <c r="B14" s="48" t="str">
        <f t="array" ref="B14">IF($J14="","",INDEX(tx_ID,$J14))</f>
        <v>TRX0104</v>
      </c>
      <c r="C14" s="49">
        <f t="array" ref="C14">IF($J14="","",INDEX(tx_Date,$J14))</f>
        <v>45471</v>
      </c>
      <c r="D14" s="48" t="str">
        <f t="array" ref="D14">IF($J14="","",INDEX(tx_CustName,$J14))</f>
        <v>Patricia Moore</v>
      </c>
      <c r="E14" s="48" t="str">
        <f t="array" ref="E14">IF($J14="","",INDEX(tx_Product,$J14))</f>
        <v>Laptop</v>
      </c>
      <c r="F14" s="48" t="str">
        <f t="array" ref="F14">IF($J14="","",INDEX(tx_Category,$J14))</f>
        <v>Electronics</v>
      </c>
      <c r="G14" s="48" t="str">
        <f t="array" ref="G14">IF($J14="","",INDEX(tx_Region,$J14))</f>
        <v>East</v>
      </c>
      <c r="H14" s="50">
        <f t="array" ref="H14">IF($J14="","",INDEX(tx_Qty,$J14))</f>
        <v>4</v>
      </c>
      <c r="I14" s="51">
        <f t="array" ref="I14">IF($J14="","",INDEX(tx_Total,$J14))</f>
        <v>3599.96</v>
      </c>
      <c r="J14" s="52">
        <f t="shared" si="2"/>
        <v>58</v>
      </c>
      <c r="L14" s="53">
        <f t="shared" si="3"/>
        <v>5</v>
      </c>
      <c r="M14" s="53">
        <f t="array" ref="M14">IF(AND(OR($B$3="All",INDEX(tx_Region,L14)=$B$3),OR($B$4="All",INDEX(tx_Category,L14)=$B$4),INDEX(tx_Total,L14)&gt;=$B$5),1,0)</f>
        <v>0</v>
      </c>
      <c r="N14" s="53">
        <f t="shared" si="4"/>
        <v>0</v>
      </c>
    </row>
    <row r="15">
      <c r="A15" s="47">
        <f t="shared" si="1"/>
        <v>6</v>
      </c>
      <c r="B15" s="48" t="str">
        <f t="array" ref="B15">IF($J15="","",INDEX(tx_ID,$J15))</f>
        <v>TRX0132</v>
      </c>
      <c r="C15" s="49">
        <f t="array" ref="C15">IF($J15="","",INDEX(tx_Date,$J15))</f>
        <v>45523</v>
      </c>
      <c r="D15" s="48" t="str">
        <f t="array" ref="D15">IF($J15="","",INDEX(tx_CustName,$J15))</f>
        <v>Gerald Murphy</v>
      </c>
      <c r="E15" s="48" t="str">
        <f t="array" ref="E15">IF($J15="","",INDEX(tx_Product,$J15))</f>
        <v>Laptop</v>
      </c>
      <c r="F15" s="48" t="str">
        <f t="array" ref="F15">IF($J15="","",INDEX(tx_Category,$J15))</f>
        <v>Electronics</v>
      </c>
      <c r="G15" s="48" t="str">
        <f t="array" ref="G15">IF($J15="","",INDEX(tx_Region,$J15))</f>
        <v>East</v>
      </c>
      <c r="H15" s="50">
        <f t="array" ref="H15">IF($J15="","",INDEX(tx_Qty,$J15))</f>
        <v>5</v>
      </c>
      <c r="I15" s="51">
        <f t="array" ref="I15">IF($J15="","",INDEX(tx_Total,$J15))</f>
        <v>4499.95</v>
      </c>
      <c r="J15" s="52">
        <f t="shared" si="2"/>
        <v>94</v>
      </c>
      <c r="L15" s="53">
        <f t="shared" si="3"/>
        <v>6</v>
      </c>
      <c r="M15" s="53">
        <f t="array" ref="M15">IF(AND(OR($B$3="All",INDEX(tx_Region,L15)=$B$3),OR($B$4="All",INDEX(tx_Category,L15)=$B$4),INDEX(tx_Total,L15)&gt;=$B$5),1,0)</f>
        <v>0</v>
      </c>
      <c r="N15" s="53">
        <f t="shared" si="4"/>
        <v>0</v>
      </c>
    </row>
    <row r="16">
      <c r="A16" s="47">
        <f t="shared" si="1"/>
        <v>7</v>
      </c>
      <c r="B16" s="48" t="str">
        <f t="array" ref="B16">IF($J16="","",INDEX(tx_ID,$J16))</f>
        <v>TRX0173</v>
      </c>
      <c r="C16" s="49">
        <f t="array" ref="C16">IF($J16="","",INDEX(tx_Date,$J16))</f>
        <v>45581</v>
      </c>
      <c r="D16" s="48" t="str">
        <f t="array" ref="D16">IF($J16="","",INDEX(tx_CustName,$J16))</f>
        <v>Barbara Young</v>
      </c>
      <c r="E16" s="48" t="str">
        <f t="array" ref="E16">IF($J16="","",INDEX(tx_Product,$J16))</f>
        <v>Smartphone</v>
      </c>
      <c r="F16" s="48" t="str">
        <f t="array" ref="F16">IF($J16="","",INDEX(tx_Category,$J16))</f>
        <v>Electronics</v>
      </c>
      <c r="G16" s="48" t="str">
        <f t="array" ref="G16">IF($J16="","",INDEX(tx_Region,$J16))</f>
        <v>East</v>
      </c>
      <c r="H16" s="50">
        <f t="array" ref="H16">IF($J16="","",INDEX(tx_Qty,$J16))</f>
        <v>5</v>
      </c>
      <c r="I16" s="51">
        <f t="array" ref="I16">IF($J16="","",INDEX(tx_Total,$J16))</f>
        <v>3499.95</v>
      </c>
      <c r="J16" s="52">
        <f t="shared" si="2"/>
        <v>128</v>
      </c>
      <c r="L16" s="53">
        <f t="shared" si="3"/>
        <v>7</v>
      </c>
      <c r="M16" s="53">
        <f t="array" ref="M16">IF(AND(OR($B$3="All",INDEX(tx_Region,L16)=$B$3),OR($B$4="All",INDEX(tx_Category,L16)=$B$4),INDEX(tx_Total,L16)&gt;=$B$5),1,0)</f>
        <v>0</v>
      </c>
      <c r="N16" s="53">
        <f t="shared" si="4"/>
        <v>0</v>
      </c>
    </row>
    <row r="17">
      <c r="A17" s="47">
        <f t="shared" si="1"/>
        <v>8</v>
      </c>
      <c r="B17" s="48" t="str">
        <f t="array" ref="B17">IF($J17="","",INDEX(tx_ID,$J17))</f>
        <v>TRX0163</v>
      </c>
      <c r="C17" s="49">
        <f t="array" ref="C17">IF($J17="","",INDEX(tx_Date,$J17))</f>
        <v>45645</v>
      </c>
      <c r="D17" s="48" t="str">
        <f t="array" ref="D17">IF($J17="","",INDEX(tx_CustName,$J17))</f>
        <v>Daniel King</v>
      </c>
      <c r="E17" s="48" t="str">
        <f t="array" ref="E17">IF($J17="","",INDEX(tx_Product,$J17))</f>
        <v>Laptop</v>
      </c>
      <c r="F17" s="48" t="str">
        <f t="array" ref="F17">IF($J17="","",INDEX(tx_Category,$J17))</f>
        <v>Electronics</v>
      </c>
      <c r="G17" s="48" t="str">
        <f t="array" ref="G17">IF($J17="","",INDEX(tx_Region,$J17))</f>
        <v>East</v>
      </c>
      <c r="H17" s="50">
        <f t="array" ref="H17">IF($J17="","",INDEX(tx_Qty,$J17))</f>
        <v>5</v>
      </c>
      <c r="I17" s="51">
        <f t="array" ref="I17">IF($J17="","",INDEX(tx_Total,$J17))</f>
        <v>4499.95</v>
      </c>
      <c r="J17" s="52">
        <f t="shared" si="2"/>
        <v>169</v>
      </c>
      <c r="L17" s="53">
        <f t="shared" si="3"/>
        <v>8</v>
      </c>
      <c r="M17" s="53">
        <f t="array" ref="M17">IF(AND(OR($B$3="All",INDEX(tx_Region,L17)=$B$3),OR($B$4="All",INDEX(tx_Category,L17)=$B$4),INDEX(tx_Total,L17)&gt;=$B$5),1,0)</f>
        <v>0</v>
      </c>
      <c r="N17" s="53">
        <f t="shared" si="4"/>
        <v>0</v>
      </c>
    </row>
    <row r="18">
      <c r="A18" s="47">
        <f t="shared" si="1"/>
        <v>9</v>
      </c>
      <c r="B18" s="48" t="str">
        <f t="array" ref="B18">IF($J18="","",INDEX(tx_ID,$J18))</f>
        <v>TRX0214</v>
      </c>
      <c r="C18" s="49">
        <f t="array" ref="C18">IF($J18="","",INDEX(tx_Date,$J18))</f>
        <v>45708</v>
      </c>
      <c r="D18" s="48" t="str">
        <f t="array" ref="D18">IF($J18="","",INDEX(tx_CustName,$J18))</f>
        <v>Barbara Young</v>
      </c>
      <c r="E18" s="48" t="str">
        <f t="array" ref="E18">IF($J18="","",INDEX(tx_Product,$J18))</f>
        <v>Laptop</v>
      </c>
      <c r="F18" s="48" t="str">
        <f t="array" ref="F18">IF($J18="","",INDEX(tx_Category,$J18))</f>
        <v>Electronics</v>
      </c>
      <c r="G18" s="48" t="str">
        <f t="array" ref="G18">IF($J18="","",INDEX(tx_Region,$J18))</f>
        <v>East</v>
      </c>
      <c r="H18" s="50">
        <f t="array" ref="H18">IF($J18="","",INDEX(tx_Qty,$J18))</f>
        <v>3</v>
      </c>
      <c r="I18" s="51">
        <f t="array" ref="I18">IF($J18="","",INDEX(tx_Total,$J18))</f>
        <v>2699.97</v>
      </c>
      <c r="J18" s="52">
        <f t="shared" si="2"/>
        <v>215</v>
      </c>
      <c r="L18" s="53">
        <f t="shared" si="3"/>
        <v>9</v>
      </c>
      <c r="M18" s="53">
        <f t="array" ref="M18">IF(AND(OR($B$3="All",INDEX(tx_Region,L18)=$B$3),OR($B$4="All",INDEX(tx_Category,L18)=$B$4),INDEX(tx_Total,L18)&gt;=$B$5),1,0)</f>
        <v>1</v>
      </c>
      <c r="N18" s="53">
        <f t="shared" si="4"/>
        <v>1</v>
      </c>
    </row>
    <row r="19">
      <c r="A19" s="47">
        <f t="shared" si="1"/>
        <v>10</v>
      </c>
      <c r="B19" s="48" t="str">
        <f t="array" ref="B19">IF($J19="","",INDEX(tx_ID,$J19))</f>
        <v>TRX0226</v>
      </c>
      <c r="C19" s="49">
        <f t="array" ref="C19">IF($J19="","",INDEX(tx_Date,$J19))</f>
        <v>45720</v>
      </c>
      <c r="D19" s="48" t="str">
        <f t="array" ref="D19">IF($J19="","",INDEX(tx_CustName,$J19))</f>
        <v>Lawrence Reed</v>
      </c>
      <c r="E19" s="48" t="str">
        <f t="array" ref="E19">IF($J19="","",INDEX(tx_Product,$J19))</f>
        <v>Smartphone</v>
      </c>
      <c r="F19" s="48" t="str">
        <f t="array" ref="F19">IF($J19="","",INDEX(tx_Category,$J19))</f>
        <v>Electronics</v>
      </c>
      <c r="G19" s="48" t="str">
        <f t="array" ref="G19">IF($J19="","",INDEX(tx_Region,$J19))</f>
        <v>East</v>
      </c>
      <c r="H19" s="50">
        <f t="array" ref="H19">IF($J19="","",INDEX(tx_Qty,$J19))</f>
        <v>5</v>
      </c>
      <c r="I19" s="51">
        <f t="array" ref="I19">IF($J19="","",INDEX(tx_Total,$J19))</f>
        <v>3499.95</v>
      </c>
      <c r="J19" s="52">
        <f t="shared" si="2"/>
        <v>226</v>
      </c>
      <c r="L19" s="53">
        <f t="shared" si="3"/>
        <v>10</v>
      </c>
      <c r="M19" s="53">
        <f t="array" ref="M19">IF(AND(OR($B$3="All",INDEX(tx_Region,L19)=$B$3),OR($B$4="All",INDEX(tx_Category,L19)=$B$4),INDEX(tx_Total,L19)&gt;=$B$5),1,0)</f>
        <v>0</v>
      </c>
      <c r="N19" s="53">
        <f t="shared" si="4"/>
        <v>1</v>
      </c>
    </row>
    <row r="20">
      <c r="A20" s="47">
        <f t="shared" si="1"/>
        <v>11</v>
      </c>
      <c r="B20" s="48" t="str">
        <f t="array" ref="B20">IF($J20="","",INDEX(tx_ID,$J20))</f>
        <v>TRX0016</v>
      </c>
      <c r="C20" s="49">
        <f t="array" ref="C20">IF($J20="","",INDEX(tx_Date,$J20))</f>
        <v>45724</v>
      </c>
      <c r="D20" s="48" t="str">
        <f t="array" ref="D20">IF($J20="","",INDEX(tx_CustName,$J20))</f>
        <v>Harry Morgan</v>
      </c>
      <c r="E20" s="48" t="str">
        <f t="array" ref="E20">IF($J20="","",INDEX(tx_Product,$J20))</f>
        <v>Laptop</v>
      </c>
      <c r="F20" s="48" t="str">
        <f t="array" ref="F20">IF($J20="","",INDEX(tx_Category,$J20))</f>
        <v>Electronics</v>
      </c>
      <c r="G20" s="48" t="str">
        <f t="array" ref="G20">IF($J20="","",INDEX(tx_Region,$J20))</f>
        <v>East</v>
      </c>
      <c r="H20" s="50">
        <f t="array" ref="H20">IF($J20="","",INDEX(tx_Qty,$J20))</f>
        <v>5</v>
      </c>
      <c r="I20" s="51">
        <f t="array" ref="I20">IF($J20="","",INDEX(tx_Total,$J20))</f>
        <v>4499.95</v>
      </c>
      <c r="J20" s="52">
        <f t="shared" si="2"/>
        <v>231</v>
      </c>
      <c r="L20" s="53">
        <f t="shared" si="3"/>
        <v>11</v>
      </c>
      <c r="M20" s="53">
        <f t="array" ref="M20">IF(AND(OR($B$3="All",INDEX(tx_Region,L20)=$B$3),OR($B$4="All",INDEX(tx_Category,L20)=$B$4),INDEX(tx_Total,L20)&gt;=$B$5),1,0)</f>
        <v>0</v>
      </c>
      <c r="N20" s="53">
        <f t="shared" si="4"/>
        <v>1</v>
      </c>
    </row>
    <row r="21" ht="15.75" customHeight="1">
      <c r="A21" s="47" t="str">
        <f t="shared" si="1"/>
        <v/>
      </c>
      <c r="B21" s="48" t="str">
        <f t="array" ref="B21">IF($J21="","",INDEX(tx_ID,$J21))</f>
        <v/>
      </c>
      <c r="C21" s="49" t="str">
        <f t="array" ref="C21">IF($J21="","",INDEX(tx_Date,$J21))</f>
        <v/>
      </c>
      <c r="D21" s="48" t="str">
        <f t="array" ref="D21">IF($J21="","",INDEX(tx_CustName,$J21))</f>
        <v/>
      </c>
      <c r="E21" s="48" t="str">
        <f t="array" ref="E21">IF($J21="","",INDEX(tx_Product,$J21))</f>
        <v/>
      </c>
      <c r="F21" s="48" t="str">
        <f t="array" ref="F21">IF($J21="","",INDEX(tx_Category,$J21))</f>
        <v/>
      </c>
      <c r="G21" s="48" t="str">
        <f t="array" ref="G21">IF($J21="","",INDEX(tx_Region,$J21))</f>
        <v/>
      </c>
      <c r="H21" s="50" t="str">
        <f t="array" ref="H21">IF($J21="","",INDEX(tx_Qty,$J21))</f>
        <v/>
      </c>
      <c r="I21" s="51" t="str">
        <f t="array" ref="I21">IF($J21="","",INDEX(tx_Total,$J21))</f>
        <v/>
      </c>
      <c r="J21" s="52" t="str">
        <f t="shared" si="2"/>
        <v/>
      </c>
      <c r="L21" s="53">
        <f t="shared" si="3"/>
        <v>12</v>
      </c>
      <c r="M21" s="53">
        <f t="array" ref="M21">IF(AND(OR($B$3="All",INDEX(tx_Region,L21)=$B$3),OR($B$4="All",INDEX(tx_Category,L21)=$B$4),INDEX(tx_Total,L21)&gt;=$B$5),1,0)</f>
        <v>0</v>
      </c>
      <c r="N21" s="53">
        <f t="shared" si="4"/>
        <v>1</v>
      </c>
    </row>
    <row r="22" ht="15.75" customHeight="1">
      <c r="A22" s="47" t="str">
        <f t="shared" si="1"/>
        <v/>
      </c>
      <c r="B22" s="48" t="str">
        <f t="array" ref="B22">IF($J22="","",INDEX(tx_ID,$J22))</f>
        <v/>
      </c>
      <c r="C22" s="49" t="str">
        <f t="array" ref="C22">IF($J22="","",INDEX(tx_Date,$J22))</f>
        <v/>
      </c>
      <c r="D22" s="48" t="str">
        <f t="array" ref="D22">IF($J22="","",INDEX(tx_CustName,$J22))</f>
        <v/>
      </c>
      <c r="E22" s="48" t="str">
        <f t="array" ref="E22">IF($J22="","",INDEX(tx_Product,$J22))</f>
        <v/>
      </c>
      <c r="F22" s="48" t="str">
        <f t="array" ref="F22">IF($J22="","",INDEX(tx_Category,$J22))</f>
        <v/>
      </c>
      <c r="G22" s="48" t="str">
        <f t="array" ref="G22">IF($J22="","",INDEX(tx_Region,$J22))</f>
        <v/>
      </c>
      <c r="H22" s="50" t="str">
        <f t="array" ref="H22">IF($J22="","",INDEX(tx_Qty,$J22))</f>
        <v/>
      </c>
      <c r="I22" s="51" t="str">
        <f t="array" ref="I22">IF($J22="","",INDEX(tx_Total,$J22))</f>
        <v/>
      </c>
      <c r="J22" s="52" t="str">
        <f t="shared" si="2"/>
        <v/>
      </c>
      <c r="L22" s="53">
        <f t="shared" si="3"/>
        <v>13</v>
      </c>
      <c r="M22" s="53">
        <f t="array" ref="M22">IF(AND(OR($B$3="All",INDEX(tx_Region,L22)=$B$3),OR($B$4="All",INDEX(tx_Category,L22)=$B$4),INDEX(tx_Total,L22)&gt;=$B$5),1,0)</f>
        <v>0</v>
      </c>
      <c r="N22" s="53">
        <f t="shared" si="4"/>
        <v>1</v>
      </c>
    </row>
    <row r="23" ht="15.75" customHeight="1">
      <c r="A23" s="47" t="str">
        <f t="shared" si="1"/>
        <v/>
      </c>
      <c r="B23" s="48" t="str">
        <f t="array" ref="B23">IF($J23="","",INDEX(tx_ID,$J23))</f>
        <v/>
      </c>
      <c r="C23" s="49" t="str">
        <f t="array" ref="C23">IF($J23="","",INDEX(tx_Date,$J23))</f>
        <v/>
      </c>
      <c r="D23" s="48" t="str">
        <f t="array" ref="D23">IF($J23="","",INDEX(tx_CustName,$J23))</f>
        <v/>
      </c>
      <c r="E23" s="48" t="str">
        <f t="array" ref="E23">IF($J23="","",INDEX(tx_Product,$J23))</f>
        <v/>
      </c>
      <c r="F23" s="48" t="str">
        <f t="array" ref="F23">IF($J23="","",INDEX(tx_Category,$J23))</f>
        <v/>
      </c>
      <c r="G23" s="48" t="str">
        <f t="array" ref="G23">IF($J23="","",INDEX(tx_Region,$J23))</f>
        <v/>
      </c>
      <c r="H23" s="50" t="str">
        <f t="array" ref="H23">IF($J23="","",INDEX(tx_Qty,$J23))</f>
        <v/>
      </c>
      <c r="I23" s="51" t="str">
        <f t="array" ref="I23">IF($J23="","",INDEX(tx_Total,$J23))</f>
        <v/>
      </c>
      <c r="J23" s="52" t="str">
        <f t="shared" si="2"/>
        <v/>
      </c>
      <c r="L23" s="53">
        <f t="shared" si="3"/>
        <v>14</v>
      </c>
      <c r="M23" s="53">
        <f t="array" ref="M23">IF(AND(OR($B$3="All",INDEX(tx_Region,L23)=$B$3),OR($B$4="All",INDEX(tx_Category,L23)=$B$4),INDEX(tx_Total,L23)&gt;=$B$5),1,0)</f>
        <v>0</v>
      </c>
      <c r="N23" s="53">
        <f t="shared" si="4"/>
        <v>1</v>
      </c>
    </row>
    <row r="24" ht="15.75" customHeight="1">
      <c r="A24" s="47" t="str">
        <f t="shared" si="1"/>
        <v/>
      </c>
      <c r="B24" s="48" t="str">
        <f t="array" ref="B24">IF($J24="","",INDEX(tx_ID,$J24))</f>
        <v/>
      </c>
      <c r="C24" s="49" t="str">
        <f t="array" ref="C24">IF($J24="","",INDEX(tx_Date,$J24))</f>
        <v/>
      </c>
      <c r="D24" s="48" t="str">
        <f t="array" ref="D24">IF($J24="","",INDEX(tx_CustName,$J24))</f>
        <v/>
      </c>
      <c r="E24" s="48" t="str">
        <f t="array" ref="E24">IF($J24="","",INDEX(tx_Product,$J24))</f>
        <v/>
      </c>
      <c r="F24" s="48" t="str">
        <f t="array" ref="F24">IF($J24="","",INDEX(tx_Category,$J24))</f>
        <v/>
      </c>
      <c r="G24" s="48" t="str">
        <f t="array" ref="G24">IF($J24="","",INDEX(tx_Region,$J24))</f>
        <v/>
      </c>
      <c r="H24" s="50" t="str">
        <f t="array" ref="H24">IF($J24="","",INDEX(tx_Qty,$J24))</f>
        <v/>
      </c>
      <c r="I24" s="51" t="str">
        <f t="array" ref="I24">IF($J24="","",INDEX(tx_Total,$J24))</f>
        <v/>
      </c>
      <c r="J24" s="52" t="str">
        <f t="shared" si="2"/>
        <v/>
      </c>
      <c r="L24" s="53">
        <f t="shared" si="3"/>
        <v>15</v>
      </c>
      <c r="M24" s="53">
        <f t="array" ref="M24">IF(AND(OR($B$3="All",INDEX(tx_Region,L24)=$B$3),OR($B$4="All",INDEX(tx_Category,L24)=$B$4),INDEX(tx_Total,L24)&gt;=$B$5),1,0)</f>
        <v>0</v>
      </c>
      <c r="N24" s="53">
        <f t="shared" si="4"/>
        <v>1</v>
      </c>
    </row>
    <row r="25" ht="15.75" customHeight="1">
      <c r="A25" s="47" t="str">
        <f t="shared" si="1"/>
        <v/>
      </c>
      <c r="B25" s="48" t="str">
        <f t="array" ref="B25">IF($J25="","",INDEX(tx_ID,$J25))</f>
        <v/>
      </c>
      <c r="C25" s="49" t="str">
        <f t="array" ref="C25">IF($J25="","",INDEX(tx_Date,$J25))</f>
        <v/>
      </c>
      <c r="D25" s="48" t="str">
        <f t="array" ref="D25">IF($J25="","",INDEX(tx_CustName,$J25))</f>
        <v/>
      </c>
      <c r="E25" s="48" t="str">
        <f t="array" ref="E25">IF($J25="","",INDEX(tx_Product,$J25))</f>
        <v/>
      </c>
      <c r="F25" s="48" t="str">
        <f t="array" ref="F25">IF($J25="","",INDEX(tx_Category,$J25))</f>
        <v/>
      </c>
      <c r="G25" s="48" t="str">
        <f t="array" ref="G25">IF($J25="","",INDEX(tx_Region,$J25))</f>
        <v/>
      </c>
      <c r="H25" s="50" t="str">
        <f t="array" ref="H25">IF($J25="","",INDEX(tx_Qty,$J25))</f>
        <v/>
      </c>
      <c r="I25" s="51" t="str">
        <f t="array" ref="I25">IF($J25="","",INDEX(tx_Total,$J25))</f>
        <v/>
      </c>
      <c r="J25" s="52" t="str">
        <f t="shared" si="2"/>
        <v/>
      </c>
      <c r="L25" s="53">
        <f t="shared" si="3"/>
        <v>16</v>
      </c>
      <c r="M25" s="53">
        <f t="array" ref="M25">IF(AND(OR($B$3="All",INDEX(tx_Region,L25)=$B$3),OR($B$4="All",INDEX(tx_Category,L25)=$B$4),INDEX(tx_Total,L25)&gt;=$B$5),1,0)</f>
        <v>0</v>
      </c>
      <c r="N25" s="53">
        <f t="shared" si="4"/>
        <v>1</v>
      </c>
    </row>
    <row r="26" ht="15.75" customHeight="1">
      <c r="A26" s="47" t="str">
        <f t="shared" si="1"/>
        <v/>
      </c>
      <c r="B26" s="48" t="str">
        <f t="array" ref="B26">IF($J26="","",INDEX(tx_ID,$J26))</f>
        <v/>
      </c>
      <c r="C26" s="49" t="str">
        <f t="array" ref="C26">IF($J26="","",INDEX(tx_Date,$J26))</f>
        <v/>
      </c>
      <c r="D26" s="48" t="str">
        <f t="array" ref="D26">IF($J26="","",INDEX(tx_CustName,$J26))</f>
        <v/>
      </c>
      <c r="E26" s="48" t="str">
        <f t="array" ref="E26">IF($J26="","",INDEX(tx_Product,$J26))</f>
        <v/>
      </c>
      <c r="F26" s="48" t="str">
        <f t="array" ref="F26">IF($J26="","",INDEX(tx_Category,$J26))</f>
        <v/>
      </c>
      <c r="G26" s="48" t="str">
        <f t="array" ref="G26">IF($J26="","",INDEX(tx_Region,$J26))</f>
        <v/>
      </c>
      <c r="H26" s="50" t="str">
        <f t="array" ref="H26">IF($J26="","",INDEX(tx_Qty,$J26))</f>
        <v/>
      </c>
      <c r="I26" s="51" t="str">
        <f t="array" ref="I26">IF($J26="","",INDEX(tx_Total,$J26))</f>
        <v/>
      </c>
      <c r="J26" s="52" t="str">
        <f t="shared" si="2"/>
        <v/>
      </c>
      <c r="L26" s="53">
        <f t="shared" si="3"/>
        <v>17</v>
      </c>
      <c r="M26" s="53">
        <f t="array" ref="M26">IF(AND(OR($B$3="All",INDEX(tx_Region,L26)=$B$3),OR($B$4="All",INDEX(tx_Category,L26)=$B$4),INDEX(tx_Total,L26)&gt;=$B$5),1,0)</f>
        <v>0</v>
      </c>
      <c r="N26" s="53">
        <f t="shared" si="4"/>
        <v>1</v>
      </c>
    </row>
    <row r="27" ht="15.75" customHeight="1">
      <c r="A27" s="47" t="str">
        <f t="shared" si="1"/>
        <v/>
      </c>
      <c r="B27" s="48" t="str">
        <f t="array" ref="B27">IF($J27="","",INDEX(tx_ID,$J27))</f>
        <v/>
      </c>
      <c r="C27" s="49" t="str">
        <f t="array" ref="C27">IF($J27="","",INDEX(tx_Date,$J27))</f>
        <v/>
      </c>
      <c r="D27" s="48" t="str">
        <f t="array" ref="D27">IF($J27="","",INDEX(tx_CustName,$J27))</f>
        <v/>
      </c>
      <c r="E27" s="48" t="str">
        <f t="array" ref="E27">IF($J27="","",INDEX(tx_Product,$J27))</f>
        <v/>
      </c>
      <c r="F27" s="48" t="str">
        <f t="array" ref="F27">IF($J27="","",INDEX(tx_Category,$J27))</f>
        <v/>
      </c>
      <c r="G27" s="48" t="str">
        <f t="array" ref="G27">IF($J27="","",INDEX(tx_Region,$J27))</f>
        <v/>
      </c>
      <c r="H27" s="50" t="str">
        <f t="array" ref="H27">IF($J27="","",INDEX(tx_Qty,$J27))</f>
        <v/>
      </c>
      <c r="I27" s="51" t="str">
        <f t="array" ref="I27">IF($J27="","",INDEX(tx_Total,$J27))</f>
        <v/>
      </c>
      <c r="J27" s="52" t="str">
        <f t="shared" si="2"/>
        <v/>
      </c>
      <c r="L27" s="53">
        <f t="shared" si="3"/>
        <v>18</v>
      </c>
      <c r="M27" s="53">
        <f t="array" ref="M27">IF(AND(OR($B$3="All",INDEX(tx_Region,L27)=$B$3),OR($B$4="All",INDEX(tx_Category,L27)=$B$4),INDEX(tx_Total,L27)&gt;=$B$5),1,0)</f>
        <v>0</v>
      </c>
      <c r="N27" s="53">
        <f t="shared" si="4"/>
        <v>1</v>
      </c>
    </row>
    <row r="28" ht="15.75" customHeight="1">
      <c r="A28" s="47" t="str">
        <f t="shared" si="1"/>
        <v/>
      </c>
      <c r="B28" s="48" t="str">
        <f t="array" ref="B28">IF($J28="","",INDEX(tx_ID,$J28))</f>
        <v/>
      </c>
      <c r="C28" s="49" t="str">
        <f t="array" ref="C28">IF($J28="","",INDEX(tx_Date,$J28))</f>
        <v/>
      </c>
      <c r="D28" s="48" t="str">
        <f t="array" ref="D28">IF($J28="","",INDEX(tx_CustName,$J28))</f>
        <v/>
      </c>
      <c r="E28" s="48" t="str">
        <f t="array" ref="E28">IF($J28="","",INDEX(tx_Product,$J28))</f>
        <v/>
      </c>
      <c r="F28" s="48" t="str">
        <f t="array" ref="F28">IF($J28="","",INDEX(tx_Category,$J28))</f>
        <v/>
      </c>
      <c r="G28" s="48" t="str">
        <f t="array" ref="G28">IF($J28="","",INDEX(tx_Region,$J28))</f>
        <v/>
      </c>
      <c r="H28" s="50" t="str">
        <f t="array" ref="H28">IF($J28="","",INDEX(tx_Qty,$J28))</f>
        <v/>
      </c>
      <c r="I28" s="51" t="str">
        <f t="array" ref="I28">IF($J28="","",INDEX(tx_Total,$J28))</f>
        <v/>
      </c>
      <c r="J28" s="52" t="str">
        <f t="shared" si="2"/>
        <v/>
      </c>
      <c r="L28" s="53">
        <f t="shared" si="3"/>
        <v>19</v>
      </c>
      <c r="M28" s="53">
        <f t="array" ref="M28">IF(AND(OR($B$3="All",INDEX(tx_Region,L28)=$B$3),OR($B$4="All",INDEX(tx_Category,L28)=$B$4),INDEX(tx_Total,L28)&gt;=$B$5),1,0)</f>
        <v>0</v>
      </c>
      <c r="N28" s="53">
        <f t="shared" si="4"/>
        <v>1</v>
      </c>
    </row>
    <row r="29" ht="15.75" customHeight="1">
      <c r="A29" s="47" t="str">
        <f t="shared" si="1"/>
        <v/>
      </c>
      <c r="B29" s="48" t="str">
        <f t="array" ref="B29">IF($J29="","",INDEX(tx_ID,$J29))</f>
        <v/>
      </c>
      <c r="C29" s="49" t="str">
        <f t="array" ref="C29">IF($J29="","",INDEX(tx_Date,$J29))</f>
        <v/>
      </c>
      <c r="D29" s="48" t="str">
        <f t="array" ref="D29">IF($J29="","",INDEX(tx_CustName,$J29))</f>
        <v/>
      </c>
      <c r="E29" s="48" t="str">
        <f t="array" ref="E29">IF($J29="","",INDEX(tx_Product,$J29))</f>
        <v/>
      </c>
      <c r="F29" s="48" t="str">
        <f t="array" ref="F29">IF($J29="","",INDEX(tx_Category,$J29))</f>
        <v/>
      </c>
      <c r="G29" s="48" t="str">
        <f t="array" ref="G29">IF($J29="","",INDEX(tx_Region,$J29))</f>
        <v/>
      </c>
      <c r="H29" s="50" t="str">
        <f t="array" ref="H29">IF($J29="","",INDEX(tx_Qty,$J29))</f>
        <v/>
      </c>
      <c r="I29" s="51" t="str">
        <f t="array" ref="I29">IF($J29="","",INDEX(tx_Total,$J29))</f>
        <v/>
      </c>
      <c r="J29" s="52" t="str">
        <f t="shared" si="2"/>
        <v/>
      </c>
      <c r="L29" s="53">
        <f t="shared" si="3"/>
        <v>20</v>
      </c>
      <c r="M29" s="53">
        <f t="array" ref="M29">IF(AND(OR($B$3="All",INDEX(tx_Region,L29)=$B$3),OR($B$4="All",INDEX(tx_Category,L29)=$B$4),INDEX(tx_Total,L29)&gt;=$B$5),1,0)</f>
        <v>0</v>
      </c>
      <c r="N29" s="53">
        <f t="shared" si="4"/>
        <v>1</v>
      </c>
    </row>
    <row r="30" ht="15.75" customHeight="1">
      <c r="A30" s="47" t="str">
        <f t="shared" si="1"/>
        <v/>
      </c>
      <c r="B30" s="48" t="str">
        <f t="array" ref="B30">IF($J30="","",INDEX(tx_ID,$J30))</f>
        <v/>
      </c>
      <c r="C30" s="49" t="str">
        <f t="array" ref="C30">IF($J30="","",INDEX(tx_Date,$J30))</f>
        <v/>
      </c>
      <c r="D30" s="48" t="str">
        <f t="array" ref="D30">IF($J30="","",INDEX(tx_CustName,$J30))</f>
        <v/>
      </c>
      <c r="E30" s="48" t="str">
        <f t="array" ref="E30">IF($J30="","",INDEX(tx_Product,$J30))</f>
        <v/>
      </c>
      <c r="F30" s="48" t="str">
        <f t="array" ref="F30">IF($J30="","",INDEX(tx_Category,$J30))</f>
        <v/>
      </c>
      <c r="G30" s="48" t="str">
        <f t="array" ref="G30">IF($J30="","",INDEX(tx_Region,$J30))</f>
        <v/>
      </c>
      <c r="H30" s="50" t="str">
        <f t="array" ref="H30">IF($J30="","",INDEX(tx_Qty,$J30))</f>
        <v/>
      </c>
      <c r="I30" s="51" t="str">
        <f t="array" ref="I30">IF($J30="","",INDEX(tx_Total,$J30))</f>
        <v/>
      </c>
      <c r="J30" s="52" t="str">
        <f t="shared" si="2"/>
        <v/>
      </c>
      <c r="L30" s="53">
        <f t="shared" si="3"/>
        <v>21</v>
      </c>
      <c r="M30" s="53">
        <f t="array" ref="M30">IF(AND(OR($B$3="All",INDEX(tx_Region,L30)=$B$3),OR($B$4="All",INDEX(tx_Category,L30)=$B$4),INDEX(tx_Total,L30)&gt;=$B$5),1,0)</f>
        <v>0</v>
      </c>
      <c r="N30" s="53">
        <f t="shared" si="4"/>
        <v>1</v>
      </c>
    </row>
    <row r="31" ht="15.75" customHeight="1">
      <c r="A31" s="47" t="str">
        <f t="shared" si="1"/>
        <v/>
      </c>
      <c r="B31" s="48" t="str">
        <f t="array" ref="B31">IF($J31="","",INDEX(tx_ID,$J31))</f>
        <v/>
      </c>
      <c r="C31" s="49" t="str">
        <f t="array" ref="C31">IF($J31="","",INDEX(tx_Date,$J31))</f>
        <v/>
      </c>
      <c r="D31" s="48" t="str">
        <f t="array" ref="D31">IF($J31="","",INDEX(tx_CustName,$J31))</f>
        <v/>
      </c>
      <c r="E31" s="48" t="str">
        <f t="array" ref="E31">IF($J31="","",INDEX(tx_Product,$J31))</f>
        <v/>
      </c>
      <c r="F31" s="48" t="str">
        <f t="array" ref="F31">IF($J31="","",INDEX(tx_Category,$J31))</f>
        <v/>
      </c>
      <c r="G31" s="48" t="str">
        <f t="array" ref="G31">IF($J31="","",INDEX(tx_Region,$J31))</f>
        <v/>
      </c>
      <c r="H31" s="50" t="str">
        <f t="array" ref="H31">IF($J31="","",INDEX(tx_Qty,$J31))</f>
        <v/>
      </c>
      <c r="I31" s="51" t="str">
        <f t="array" ref="I31">IF($J31="","",INDEX(tx_Total,$J31))</f>
        <v/>
      </c>
      <c r="J31" s="52" t="str">
        <f t="shared" si="2"/>
        <v/>
      </c>
      <c r="L31" s="53">
        <f t="shared" si="3"/>
        <v>22</v>
      </c>
      <c r="M31" s="53">
        <f t="array" ref="M31">IF(AND(OR($B$3="All",INDEX(tx_Region,L31)=$B$3),OR($B$4="All",INDEX(tx_Category,L31)=$B$4),INDEX(tx_Total,L31)&gt;=$B$5),1,0)</f>
        <v>1</v>
      </c>
      <c r="N31" s="53">
        <f t="shared" si="4"/>
        <v>2</v>
      </c>
    </row>
    <row r="32" ht="15.75" customHeight="1">
      <c r="A32" s="47" t="str">
        <f t="shared" si="1"/>
        <v/>
      </c>
      <c r="B32" s="48" t="str">
        <f t="array" ref="B32">IF($J32="","",INDEX(tx_ID,$J32))</f>
        <v/>
      </c>
      <c r="C32" s="49" t="str">
        <f t="array" ref="C32">IF($J32="","",INDEX(tx_Date,$J32))</f>
        <v/>
      </c>
      <c r="D32" s="48" t="str">
        <f t="array" ref="D32">IF($J32="","",INDEX(tx_CustName,$J32))</f>
        <v/>
      </c>
      <c r="E32" s="48" t="str">
        <f t="array" ref="E32">IF($J32="","",INDEX(tx_Product,$J32))</f>
        <v/>
      </c>
      <c r="F32" s="48" t="str">
        <f t="array" ref="F32">IF($J32="","",INDEX(tx_Category,$J32))</f>
        <v/>
      </c>
      <c r="G32" s="48" t="str">
        <f t="array" ref="G32">IF($J32="","",INDEX(tx_Region,$J32))</f>
        <v/>
      </c>
      <c r="H32" s="50" t="str">
        <f t="array" ref="H32">IF($J32="","",INDEX(tx_Qty,$J32))</f>
        <v/>
      </c>
      <c r="I32" s="51" t="str">
        <f t="array" ref="I32">IF($J32="","",INDEX(tx_Total,$J32))</f>
        <v/>
      </c>
      <c r="J32" s="52" t="str">
        <f t="shared" si="2"/>
        <v/>
      </c>
      <c r="L32" s="53">
        <f t="shared" si="3"/>
        <v>23</v>
      </c>
      <c r="M32" s="53">
        <f t="array" ref="M32">IF(AND(OR($B$3="All",INDEX(tx_Region,L32)=$B$3),OR($B$4="All",INDEX(tx_Category,L32)=$B$4),INDEX(tx_Total,L32)&gt;=$B$5),1,0)</f>
        <v>0</v>
      </c>
      <c r="N32" s="53">
        <f t="shared" si="4"/>
        <v>2</v>
      </c>
    </row>
    <row r="33" ht="15.75" customHeight="1">
      <c r="A33" s="47" t="str">
        <f t="shared" si="1"/>
        <v/>
      </c>
      <c r="B33" s="48" t="str">
        <f t="array" ref="B33">IF($J33="","",INDEX(tx_ID,$J33))</f>
        <v/>
      </c>
      <c r="C33" s="49" t="str">
        <f t="array" ref="C33">IF($J33="","",INDEX(tx_Date,$J33))</f>
        <v/>
      </c>
      <c r="D33" s="48" t="str">
        <f t="array" ref="D33">IF($J33="","",INDEX(tx_CustName,$J33))</f>
        <v/>
      </c>
      <c r="E33" s="48" t="str">
        <f t="array" ref="E33">IF($J33="","",INDEX(tx_Product,$J33))</f>
        <v/>
      </c>
      <c r="F33" s="48" t="str">
        <f t="array" ref="F33">IF($J33="","",INDEX(tx_Category,$J33))</f>
        <v/>
      </c>
      <c r="G33" s="48" t="str">
        <f t="array" ref="G33">IF($J33="","",INDEX(tx_Region,$J33))</f>
        <v/>
      </c>
      <c r="H33" s="50" t="str">
        <f t="array" ref="H33">IF($J33="","",INDEX(tx_Qty,$J33))</f>
        <v/>
      </c>
      <c r="I33" s="51" t="str">
        <f t="array" ref="I33">IF($J33="","",INDEX(tx_Total,$J33))</f>
        <v/>
      </c>
      <c r="J33" s="52" t="str">
        <f t="shared" si="2"/>
        <v/>
      </c>
      <c r="L33" s="53">
        <f t="shared" si="3"/>
        <v>24</v>
      </c>
      <c r="M33" s="53">
        <f t="array" ref="M33">IF(AND(OR($B$3="All",INDEX(tx_Region,L33)=$B$3),OR($B$4="All",INDEX(tx_Category,L33)=$B$4),INDEX(tx_Total,L33)&gt;=$B$5),1,0)</f>
        <v>0</v>
      </c>
      <c r="N33" s="53">
        <f t="shared" si="4"/>
        <v>2</v>
      </c>
    </row>
    <row r="34" ht="15.75" customHeight="1">
      <c r="A34" s="47" t="str">
        <f t="shared" si="1"/>
        <v/>
      </c>
      <c r="B34" s="48" t="str">
        <f t="array" ref="B34">IF($J34="","",INDEX(tx_ID,$J34))</f>
        <v/>
      </c>
      <c r="C34" s="49" t="str">
        <f t="array" ref="C34">IF($J34="","",INDEX(tx_Date,$J34))</f>
        <v/>
      </c>
      <c r="D34" s="48" t="str">
        <f t="array" ref="D34">IF($J34="","",INDEX(tx_CustName,$J34))</f>
        <v/>
      </c>
      <c r="E34" s="48" t="str">
        <f t="array" ref="E34">IF($J34="","",INDEX(tx_Product,$J34))</f>
        <v/>
      </c>
      <c r="F34" s="48" t="str">
        <f t="array" ref="F34">IF($J34="","",INDEX(tx_Category,$J34))</f>
        <v/>
      </c>
      <c r="G34" s="48" t="str">
        <f t="array" ref="G34">IF($J34="","",INDEX(tx_Region,$J34))</f>
        <v/>
      </c>
      <c r="H34" s="50" t="str">
        <f t="array" ref="H34">IF($J34="","",INDEX(tx_Qty,$J34))</f>
        <v/>
      </c>
      <c r="I34" s="51" t="str">
        <f t="array" ref="I34">IF($J34="","",INDEX(tx_Total,$J34))</f>
        <v/>
      </c>
      <c r="J34" s="52" t="str">
        <f t="shared" si="2"/>
        <v/>
      </c>
      <c r="L34" s="53">
        <f t="shared" si="3"/>
        <v>25</v>
      </c>
      <c r="M34" s="53">
        <f t="array" ref="M34">IF(AND(OR($B$3="All",INDEX(tx_Region,L34)=$B$3),OR($B$4="All",INDEX(tx_Category,L34)=$B$4),INDEX(tx_Total,L34)&gt;=$B$5),1,0)</f>
        <v>0</v>
      </c>
      <c r="N34" s="53">
        <f t="shared" si="4"/>
        <v>2</v>
      </c>
    </row>
    <row r="35" ht="15.75" customHeight="1">
      <c r="A35" s="47" t="str">
        <f t="shared" si="1"/>
        <v/>
      </c>
      <c r="B35" s="48" t="str">
        <f t="array" ref="B35">IF($J35="","",INDEX(tx_ID,$J35))</f>
        <v/>
      </c>
      <c r="C35" s="49" t="str">
        <f t="array" ref="C35">IF($J35="","",INDEX(tx_Date,$J35))</f>
        <v/>
      </c>
      <c r="D35" s="48" t="str">
        <f t="array" ref="D35">IF($J35="","",INDEX(tx_CustName,$J35))</f>
        <v/>
      </c>
      <c r="E35" s="48" t="str">
        <f t="array" ref="E35">IF($J35="","",INDEX(tx_Product,$J35))</f>
        <v/>
      </c>
      <c r="F35" s="48" t="str">
        <f t="array" ref="F35">IF($J35="","",INDEX(tx_Category,$J35))</f>
        <v/>
      </c>
      <c r="G35" s="48" t="str">
        <f t="array" ref="G35">IF($J35="","",INDEX(tx_Region,$J35))</f>
        <v/>
      </c>
      <c r="H35" s="50" t="str">
        <f t="array" ref="H35">IF($J35="","",INDEX(tx_Qty,$J35))</f>
        <v/>
      </c>
      <c r="I35" s="51" t="str">
        <f t="array" ref="I35">IF($J35="","",INDEX(tx_Total,$J35))</f>
        <v/>
      </c>
      <c r="J35" s="52" t="str">
        <f t="shared" si="2"/>
        <v/>
      </c>
      <c r="L35" s="53">
        <f t="shared" si="3"/>
        <v>26</v>
      </c>
      <c r="M35" s="53">
        <f t="array" ref="M35">IF(AND(OR($B$3="All",INDEX(tx_Region,L35)=$B$3),OR($B$4="All",INDEX(tx_Category,L35)=$B$4),INDEX(tx_Total,L35)&gt;=$B$5),1,0)</f>
        <v>0</v>
      </c>
      <c r="N35" s="53">
        <f t="shared" si="4"/>
        <v>2</v>
      </c>
    </row>
    <row r="36" ht="15.75" customHeight="1">
      <c r="A36" s="47" t="str">
        <f t="shared" si="1"/>
        <v/>
      </c>
      <c r="B36" s="48" t="str">
        <f t="array" ref="B36">IF($J36="","",INDEX(tx_ID,$J36))</f>
        <v/>
      </c>
      <c r="C36" s="49" t="str">
        <f t="array" ref="C36">IF($J36="","",INDEX(tx_Date,$J36))</f>
        <v/>
      </c>
      <c r="D36" s="48" t="str">
        <f t="array" ref="D36">IF($J36="","",INDEX(tx_CustName,$J36))</f>
        <v/>
      </c>
      <c r="E36" s="48" t="str">
        <f t="array" ref="E36">IF($J36="","",INDEX(tx_Product,$J36))</f>
        <v/>
      </c>
      <c r="F36" s="48" t="str">
        <f t="array" ref="F36">IF($J36="","",INDEX(tx_Category,$J36))</f>
        <v/>
      </c>
      <c r="G36" s="48" t="str">
        <f t="array" ref="G36">IF($J36="","",INDEX(tx_Region,$J36))</f>
        <v/>
      </c>
      <c r="H36" s="50" t="str">
        <f t="array" ref="H36">IF($J36="","",INDEX(tx_Qty,$J36))</f>
        <v/>
      </c>
      <c r="I36" s="51" t="str">
        <f t="array" ref="I36">IF($J36="","",INDEX(tx_Total,$J36))</f>
        <v/>
      </c>
      <c r="J36" s="52" t="str">
        <f t="shared" si="2"/>
        <v/>
      </c>
      <c r="L36" s="53">
        <f t="shared" si="3"/>
        <v>27</v>
      </c>
      <c r="M36" s="53">
        <f t="array" ref="M36">IF(AND(OR($B$3="All",INDEX(tx_Region,L36)=$B$3),OR($B$4="All",INDEX(tx_Category,L36)=$B$4),INDEX(tx_Total,L36)&gt;=$B$5),1,0)</f>
        <v>0</v>
      </c>
      <c r="N36" s="53">
        <f t="shared" si="4"/>
        <v>2</v>
      </c>
    </row>
    <row r="37" ht="15.75" customHeight="1">
      <c r="A37" s="47" t="str">
        <f t="shared" si="1"/>
        <v/>
      </c>
      <c r="B37" s="48" t="str">
        <f t="array" ref="B37">IF($J37="","",INDEX(tx_ID,$J37))</f>
        <v/>
      </c>
      <c r="C37" s="49" t="str">
        <f t="array" ref="C37">IF($J37="","",INDEX(tx_Date,$J37))</f>
        <v/>
      </c>
      <c r="D37" s="48" t="str">
        <f t="array" ref="D37">IF($J37="","",INDEX(tx_CustName,$J37))</f>
        <v/>
      </c>
      <c r="E37" s="48" t="str">
        <f t="array" ref="E37">IF($J37="","",INDEX(tx_Product,$J37))</f>
        <v/>
      </c>
      <c r="F37" s="48" t="str">
        <f t="array" ref="F37">IF($J37="","",INDEX(tx_Category,$J37))</f>
        <v/>
      </c>
      <c r="G37" s="48" t="str">
        <f t="array" ref="G37">IF($J37="","",INDEX(tx_Region,$J37))</f>
        <v/>
      </c>
      <c r="H37" s="50" t="str">
        <f t="array" ref="H37">IF($J37="","",INDEX(tx_Qty,$J37))</f>
        <v/>
      </c>
      <c r="I37" s="51" t="str">
        <f t="array" ref="I37">IF($J37="","",INDEX(tx_Total,$J37))</f>
        <v/>
      </c>
      <c r="J37" s="52" t="str">
        <f t="shared" si="2"/>
        <v/>
      </c>
      <c r="L37" s="53">
        <f t="shared" si="3"/>
        <v>28</v>
      </c>
      <c r="M37" s="53">
        <f t="array" ref="M37">IF(AND(OR($B$3="All",INDEX(tx_Region,L37)=$B$3),OR($B$4="All",INDEX(tx_Category,L37)=$B$4),INDEX(tx_Total,L37)&gt;=$B$5),1,0)</f>
        <v>0</v>
      </c>
      <c r="N37" s="53">
        <f t="shared" si="4"/>
        <v>2</v>
      </c>
    </row>
    <row r="38" ht="15.75" customHeight="1">
      <c r="A38" s="47" t="str">
        <f t="shared" si="1"/>
        <v/>
      </c>
      <c r="B38" s="48" t="str">
        <f t="array" ref="B38">IF($J38="","",INDEX(tx_ID,$J38))</f>
        <v/>
      </c>
      <c r="C38" s="49" t="str">
        <f t="array" ref="C38">IF($J38="","",INDEX(tx_Date,$J38))</f>
        <v/>
      </c>
      <c r="D38" s="48" t="str">
        <f t="array" ref="D38">IF($J38="","",INDEX(tx_CustName,$J38))</f>
        <v/>
      </c>
      <c r="E38" s="48" t="str">
        <f t="array" ref="E38">IF($J38="","",INDEX(tx_Product,$J38))</f>
        <v/>
      </c>
      <c r="F38" s="48" t="str">
        <f t="array" ref="F38">IF($J38="","",INDEX(tx_Category,$J38))</f>
        <v/>
      </c>
      <c r="G38" s="48" t="str">
        <f t="array" ref="G38">IF($J38="","",INDEX(tx_Region,$J38))</f>
        <v/>
      </c>
      <c r="H38" s="50" t="str">
        <f t="array" ref="H38">IF($J38="","",INDEX(tx_Qty,$J38))</f>
        <v/>
      </c>
      <c r="I38" s="51" t="str">
        <f t="array" ref="I38">IF($J38="","",INDEX(tx_Total,$J38))</f>
        <v/>
      </c>
      <c r="J38" s="52" t="str">
        <f t="shared" si="2"/>
        <v/>
      </c>
      <c r="L38" s="53">
        <f t="shared" si="3"/>
        <v>29</v>
      </c>
      <c r="M38" s="53">
        <f t="array" ref="M38">IF(AND(OR($B$3="All",INDEX(tx_Region,L38)=$B$3),OR($B$4="All",INDEX(tx_Category,L38)=$B$4),INDEX(tx_Total,L38)&gt;=$B$5),1,0)</f>
        <v>0</v>
      </c>
      <c r="N38" s="53">
        <f t="shared" si="4"/>
        <v>2</v>
      </c>
    </row>
    <row r="39" ht="15.75" customHeight="1">
      <c r="A39" s="47" t="str">
        <f t="shared" si="1"/>
        <v/>
      </c>
      <c r="B39" s="48" t="str">
        <f t="array" ref="B39">IF($J39="","",INDEX(tx_ID,$J39))</f>
        <v/>
      </c>
      <c r="C39" s="49" t="str">
        <f t="array" ref="C39">IF($J39="","",INDEX(tx_Date,$J39))</f>
        <v/>
      </c>
      <c r="D39" s="48" t="str">
        <f t="array" ref="D39">IF($J39="","",INDEX(tx_CustName,$J39))</f>
        <v/>
      </c>
      <c r="E39" s="48" t="str">
        <f t="array" ref="E39">IF($J39="","",INDEX(tx_Product,$J39))</f>
        <v/>
      </c>
      <c r="F39" s="48" t="str">
        <f t="array" ref="F39">IF($J39="","",INDEX(tx_Category,$J39))</f>
        <v/>
      </c>
      <c r="G39" s="48" t="str">
        <f t="array" ref="G39">IF($J39="","",INDEX(tx_Region,$J39))</f>
        <v/>
      </c>
      <c r="H39" s="50" t="str">
        <f t="array" ref="H39">IF($J39="","",INDEX(tx_Qty,$J39))</f>
        <v/>
      </c>
      <c r="I39" s="51" t="str">
        <f t="array" ref="I39">IF($J39="","",INDEX(tx_Total,$J39))</f>
        <v/>
      </c>
      <c r="J39" s="52" t="str">
        <f t="shared" si="2"/>
        <v/>
      </c>
      <c r="L39" s="53">
        <f t="shared" si="3"/>
        <v>30</v>
      </c>
      <c r="M39" s="53">
        <f t="array" ref="M39">IF(AND(OR($B$3="All",INDEX(tx_Region,L39)=$B$3),OR($B$4="All",INDEX(tx_Category,L39)=$B$4),INDEX(tx_Total,L39)&gt;=$B$5),1,0)</f>
        <v>0</v>
      </c>
      <c r="N39" s="53">
        <f t="shared" si="4"/>
        <v>2</v>
      </c>
    </row>
    <row r="40" ht="15.75" customHeight="1">
      <c r="A40" s="47" t="str">
        <f t="shared" si="1"/>
        <v/>
      </c>
      <c r="B40" s="48" t="str">
        <f t="array" ref="B40">IF($J40="","",INDEX(tx_ID,$J40))</f>
        <v/>
      </c>
      <c r="C40" s="49" t="str">
        <f t="array" ref="C40">IF($J40="","",INDEX(tx_Date,$J40))</f>
        <v/>
      </c>
      <c r="D40" s="48" t="str">
        <f t="array" ref="D40">IF($J40="","",INDEX(tx_CustName,$J40))</f>
        <v/>
      </c>
      <c r="E40" s="48" t="str">
        <f t="array" ref="E40">IF($J40="","",INDEX(tx_Product,$J40))</f>
        <v/>
      </c>
      <c r="F40" s="48" t="str">
        <f t="array" ref="F40">IF($J40="","",INDEX(tx_Category,$J40))</f>
        <v/>
      </c>
      <c r="G40" s="48" t="str">
        <f t="array" ref="G40">IF($J40="","",INDEX(tx_Region,$J40))</f>
        <v/>
      </c>
      <c r="H40" s="50" t="str">
        <f t="array" ref="H40">IF($J40="","",INDEX(tx_Qty,$J40))</f>
        <v/>
      </c>
      <c r="I40" s="51" t="str">
        <f t="array" ref="I40">IF($J40="","",INDEX(tx_Total,$J40))</f>
        <v/>
      </c>
      <c r="J40" s="52" t="str">
        <f t="shared" si="2"/>
        <v/>
      </c>
      <c r="L40" s="53">
        <f t="shared" si="3"/>
        <v>31</v>
      </c>
      <c r="M40" s="53">
        <f t="array" ref="M40">IF(AND(OR($B$3="All",INDEX(tx_Region,L40)=$B$3),OR($B$4="All",INDEX(tx_Category,L40)=$B$4),INDEX(tx_Total,L40)&gt;=$B$5),1,0)</f>
        <v>0</v>
      </c>
      <c r="N40" s="53">
        <f t="shared" si="4"/>
        <v>2</v>
      </c>
    </row>
    <row r="41" ht="15.75" customHeight="1">
      <c r="A41" s="47" t="str">
        <f t="shared" si="1"/>
        <v/>
      </c>
      <c r="B41" s="48" t="str">
        <f t="array" ref="B41">IF($J41="","",INDEX(tx_ID,$J41))</f>
        <v/>
      </c>
      <c r="C41" s="49" t="str">
        <f t="array" ref="C41">IF($J41="","",INDEX(tx_Date,$J41))</f>
        <v/>
      </c>
      <c r="D41" s="48" t="str">
        <f t="array" ref="D41">IF($J41="","",INDEX(tx_CustName,$J41))</f>
        <v/>
      </c>
      <c r="E41" s="48" t="str">
        <f t="array" ref="E41">IF($J41="","",INDEX(tx_Product,$J41))</f>
        <v/>
      </c>
      <c r="F41" s="48" t="str">
        <f t="array" ref="F41">IF($J41="","",INDEX(tx_Category,$J41))</f>
        <v/>
      </c>
      <c r="G41" s="48" t="str">
        <f t="array" ref="G41">IF($J41="","",INDEX(tx_Region,$J41))</f>
        <v/>
      </c>
      <c r="H41" s="50" t="str">
        <f t="array" ref="H41">IF($J41="","",INDEX(tx_Qty,$J41))</f>
        <v/>
      </c>
      <c r="I41" s="51" t="str">
        <f t="array" ref="I41">IF($J41="","",INDEX(tx_Total,$J41))</f>
        <v/>
      </c>
      <c r="J41" s="52" t="str">
        <f t="shared" si="2"/>
        <v/>
      </c>
      <c r="L41" s="53">
        <f t="shared" si="3"/>
        <v>32</v>
      </c>
      <c r="M41" s="53">
        <f t="array" ref="M41">IF(AND(OR($B$3="All",INDEX(tx_Region,L41)=$B$3),OR($B$4="All",INDEX(tx_Category,L41)=$B$4),INDEX(tx_Total,L41)&gt;=$B$5),1,0)</f>
        <v>0</v>
      </c>
      <c r="N41" s="53">
        <f t="shared" si="4"/>
        <v>2</v>
      </c>
    </row>
    <row r="42" ht="15.75" customHeight="1">
      <c r="A42" s="47" t="str">
        <f t="shared" si="1"/>
        <v/>
      </c>
      <c r="B42" s="48" t="str">
        <f t="array" ref="B42">IF($J42="","",INDEX(tx_ID,$J42))</f>
        <v/>
      </c>
      <c r="C42" s="49" t="str">
        <f t="array" ref="C42">IF($J42="","",INDEX(tx_Date,$J42))</f>
        <v/>
      </c>
      <c r="D42" s="48" t="str">
        <f t="array" ref="D42">IF($J42="","",INDEX(tx_CustName,$J42))</f>
        <v/>
      </c>
      <c r="E42" s="48" t="str">
        <f t="array" ref="E42">IF($J42="","",INDEX(tx_Product,$J42))</f>
        <v/>
      </c>
      <c r="F42" s="48" t="str">
        <f t="array" ref="F42">IF($J42="","",INDEX(tx_Category,$J42))</f>
        <v/>
      </c>
      <c r="G42" s="48" t="str">
        <f t="array" ref="G42">IF($J42="","",INDEX(tx_Region,$J42))</f>
        <v/>
      </c>
      <c r="H42" s="50" t="str">
        <f t="array" ref="H42">IF($J42="","",INDEX(tx_Qty,$J42))</f>
        <v/>
      </c>
      <c r="I42" s="51" t="str">
        <f t="array" ref="I42">IF($J42="","",INDEX(tx_Total,$J42))</f>
        <v/>
      </c>
      <c r="J42" s="52" t="str">
        <f t="shared" si="2"/>
        <v/>
      </c>
      <c r="L42" s="53">
        <f t="shared" si="3"/>
        <v>33</v>
      </c>
      <c r="M42" s="53">
        <f t="array" ref="M42">IF(AND(OR($B$3="All",INDEX(tx_Region,L42)=$B$3),OR($B$4="All",INDEX(tx_Category,L42)=$B$4),INDEX(tx_Total,L42)&gt;=$B$5),1,0)</f>
        <v>0</v>
      </c>
      <c r="N42" s="53">
        <f t="shared" si="4"/>
        <v>2</v>
      </c>
    </row>
    <row r="43" ht="15.75" customHeight="1">
      <c r="A43" s="47" t="str">
        <f t="shared" si="1"/>
        <v/>
      </c>
      <c r="B43" s="48" t="str">
        <f t="array" ref="B43">IF($J43="","",INDEX(tx_ID,$J43))</f>
        <v/>
      </c>
      <c r="C43" s="49" t="str">
        <f t="array" ref="C43">IF($J43="","",INDEX(tx_Date,$J43))</f>
        <v/>
      </c>
      <c r="D43" s="48" t="str">
        <f t="array" ref="D43">IF($J43="","",INDEX(tx_CustName,$J43))</f>
        <v/>
      </c>
      <c r="E43" s="48" t="str">
        <f t="array" ref="E43">IF($J43="","",INDEX(tx_Product,$J43))</f>
        <v/>
      </c>
      <c r="F43" s="48" t="str">
        <f t="array" ref="F43">IF($J43="","",INDEX(tx_Category,$J43))</f>
        <v/>
      </c>
      <c r="G43" s="48" t="str">
        <f t="array" ref="G43">IF($J43="","",INDEX(tx_Region,$J43))</f>
        <v/>
      </c>
      <c r="H43" s="50" t="str">
        <f t="array" ref="H43">IF($J43="","",INDEX(tx_Qty,$J43))</f>
        <v/>
      </c>
      <c r="I43" s="51" t="str">
        <f t="array" ref="I43">IF($J43="","",INDEX(tx_Total,$J43))</f>
        <v/>
      </c>
      <c r="J43" s="52" t="str">
        <f t="shared" si="2"/>
        <v/>
      </c>
      <c r="L43" s="53">
        <f t="shared" si="3"/>
        <v>34</v>
      </c>
      <c r="M43" s="53">
        <f t="array" ref="M43">IF(AND(OR($B$3="All",INDEX(tx_Region,L43)=$B$3),OR($B$4="All",INDEX(tx_Category,L43)=$B$4),INDEX(tx_Total,L43)&gt;=$B$5),1,0)</f>
        <v>0</v>
      </c>
      <c r="N43" s="53">
        <f t="shared" si="4"/>
        <v>2</v>
      </c>
    </row>
    <row r="44" ht="15.75" customHeight="1">
      <c r="A44" s="47" t="str">
        <f t="shared" si="1"/>
        <v/>
      </c>
      <c r="B44" s="48" t="str">
        <f t="array" ref="B44">IF($J44="","",INDEX(tx_ID,$J44))</f>
        <v/>
      </c>
      <c r="C44" s="49" t="str">
        <f t="array" ref="C44">IF($J44="","",INDEX(tx_Date,$J44))</f>
        <v/>
      </c>
      <c r="D44" s="48" t="str">
        <f t="array" ref="D44">IF($J44="","",INDEX(tx_CustName,$J44))</f>
        <v/>
      </c>
      <c r="E44" s="48" t="str">
        <f t="array" ref="E44">IF($J44="","",INDEX(tx_Product,$J44))</f>
        <v/>
      </c>
      <c r="F44" s="48" t="str">
        <f t="array" ref="F44">IF($J44="","",INDEX(tx_Category,$J44))</f>
        <v/>
      </c>
      <c r="G44" s="48" t="str">
        <f t="array" ref="G44">IF($J44="","",INDEX(tx_Region,$J44))</f>
        <v/>
      </c>
      <c r="H44" s="50" t="str">
        <f t="array" ref="H44">IF($J44="","",INDEX(tx_Qty,$J44))</f>
        <v/>
      </c>
      <c r="I44" s="51" t="str">
        <f t="array" ref="I44">IF($J44="","",INDEX(tx_Total,$J44))</f>
        <v/>
      </c>
      <c r="J44" s="52" t="str">
        <f t="shared" si="2"/>
        <v/>
      </c>
      <c r="L44" s="53">
        <f t="shared" si="3"/>
        <v>35</v>
      </c>
      <c r="M44" s="53">
        <f t="array" ref="M44">IF(AND(OR($B$3="All",INDEX(tx_Region,L44)=$B$3),OR($B$4="All",INDEX(tx_Category,L44)=$B$4),INDEX(tx_Total,L44)&gt;=$B$5),1,0)</f>
        <v>0</v>
      </c>
      <c r="N44" s="53">
        <f t="shared" si="4"/>
        <v>2</v>
      </c>
    </row>
    <row r="45" ht="15.75" customHeight="1">
      <c r="A45" s="47" t="str">
        <f t="shared" si="1"/>
        <v/>
      </c>
      <c r="B45" s="48" t="str">
        <f t="array" ref="B45">IF($J45="","",INDEX(tx_ID,$J45))</f>
        <v/>
      </c>
      <c r="C45" s="49" t="str">
        <f t="array" ref="C45">IF($J45="","",INDEX(tx_Date,$J45))</f>
        <v/>
      </c>
      <c r="D45" s="48" t="str">
        <f t="array" ref="D45">IF($J45="","",INDEX(tx_CustName,$J45))</f>
        <v/>
      </c>
      <c r="E45" s="48" t="str">
        <f t="array" ref="E45">IF($J45="","",INDEX(tx_Product,$J45))</f>
        <v/>
      </c>
      <c r="F45" s="48" t="str">
        <f t="array" ref="F45">IF($J45="","",INDEX(tx_Category,$J45))</f>
        <v/>
      </c>
      <c r="G45" s="48" t="str">
        <f t="array" ref="G45">IF($J45="","",INDEX(tx_Region,$J45))</f>
        <v/>
      </c>
      <c r="H45" s="50" t="str">
        <f t="array" ref="H45">IF($J45="","",INDEX(tx_Qty,$J45))</f>
        <v/>
      </c>
      <c r="I45" s="51" t="str">
        <f t="array" ref="I45">IF($J45="","",INDEX(tx_Total,$J45))</f>
        <v/>
      </c>
      <c r="J45" s="52" t="str">
        <f t="shared" si="2"/>
        <v/>
      </c>
      <c r="L45" s="53">
        <f t="shared" si="3"/>
        <v>36</v>
      </c>
      <c r="M45" s="53">
        <f t="array" ref="M45">IF(AND(OR($B$3="All",INDEX(tx_Region,L45)=$B$3),OR($B$4="All",INDEX(tx_Category,L45)=$B$4),INDEX(tx_Total,L45)&gt;=$B$5),1,0)</f>
        <v>0</v>
      </c>
      <c r="N45" s="53">
        <f t="shared" si="4"/>
        <v>2</v>
      </c>
    </row>
    <row r="46" ht="15.75" customHeight="1">
      <c r="A46" s="47" t="str">
        <f t="shared" si="1"/>
        <v/>
      </c>
      <c r="B46" s="48" t="str">
        <f t="array" ref="B46">IF($J46="","",INDEX(tx_ID,$J46))</f>
        <v/>
      </c>
      <c r="C46" s="49" t="str">
        <f t="array" ref="C46">IF($J46="","",INDEX(tx_Date,$J46))</f>
        <v/>
      </c>
      <c r="D46" s="48" t="str">
        <f t="array" ref="D46">IF($J46="","",INDEX(tx_CustName,$J46))</f>
        <v/>
      </c>
      <c r="E46" s="48" t="str">
        <f t="array" ref="E46">IF($J46="","",INDEX(tx_Product,$J46))</f>
        <v/>
      </c>
      <c r="F46" s="48" t="str">
        <f t="array" ref="F46">IF($J46="","",INDEX(tx_Category,$J46))</f>
        <v/>
      </c>
      <c r="G46" s="48" t="str">
        <f t="array" ref="G46">IF($J46="","",INDEX(tx_Region,$J46))</f>
        <v/>
      </c>
      <c r="H46" s="50" t="str">
        <f t="array" ref="H46">IF($J46="","",INDEX(tx_Qty,$J46))</f>
        <v/>
      </c>
      <c r="I46" s="51" t="str">
        <f t="array" ref="I46">IF($J46="","",INDEX(tx_Total,$J46))</f>
        <v/>
      </c>
      <c r="J46" s="52" t="str">
        <f t="shared" si="2"/>
        <v/>
      </c>
      <c r="L46" s="53">
        <f t="shared" si="3"/>
        <v>37</v>
      </c>
      <c r="M46" s="53">
        <f t="array" ref="M46">IF(AND(OR($B$3="All",INDEX(tx_Region,L46)=$B$3),OR($B$4="All",INDEX(tx_Category,L46)=$B$4),INDEX(tx_Total,L46)&gt;=$B$5),1,0)</f>
        <v>0</v>
      </c>
      <c r="N46" s="53">
        <f t="shared" si="4"/>
        <v>2</v>
      </c>
    </row>
    <row r="47" ht="15.75" customHeight="1">
      <c r="A47" s="47" t="str">
        <f t="shared" si="1"/>
        <v/>
      </c>
      <c r="B47" s="48" t="str">
        <f t="array" ref="B47">IF($J47="","",INDEX(tx_ID,$J47))</f>
        <v/>
      </c>
      <c r="C47" s="49" t="str">
        <f t="array" ref="C47">IF($J47="","",INDEX(tx_Date,$J47))</f>
        <v/>
      </c>
      <c r="D47" s="48" t="str">
        <f t="array" ref="D47">IF($J47="","",INDEX(tx_CustName,$J47))</f>
        <v/>
      </c>
      <c r="E47" s="48" t="str">
        <f t="array" ref="E47">IF($J47="","",INDEX(tx_Product,$J47))</f>
        <v/>
      </c>
      <c r="F47" s="48" t="str">
        <f t="array" ref="F47">IF($J47="","",INDEX(tx_Category,$J47))</f>
        <v/>
      </c>
      <c r="G47" s="48" t="str">
        <f t="array" ref="G47">IF($J47="","",INDEX(tx_Region,$J47))</f>
        <v/>
      </c>
      <c r="H47" s="50" t="str">
        <f t="array" ref="H47">IF($J47="","",INDEX(tx_Qty,$J47))</f>
        <v/>
      </c>
      <c r="I47" s="51" t="str">
        <f t="array" ref="I47">IF($J47="","",INDEX(tx_Total,$J47))</f>
        <v/>
      </c>
      <c r="J47" s="52" t="str">
        <f t="shared" si="2"/>
        <v/>
      </c>
      <c r="L47" s="53">
        <f t="shared" si="3"/>
        <v>38</v>
      </c>
      <c r="M47" s="53">
        <f t="array" ref="M47">IF(AND(OR($B$3="All",INDEX(tx_Region,L47)=$B$3),OR($B$4="All",INDEX(tx_Category,L47)=$B$4),INDEX(tx_Total,L47)&gt;=$B$5),1,0)</f>
        <v>0</v>
      </c>
      <c r="N47" s="53">
        <f t="shared" si="4"/>
        <v>2</v>
      </c>
    </row>
    <row r="48" ht="15.75" customHeight="1">
      <c r="A48" s="47" t="str">
        <f t="shared" si="1"/>
        <v/>
      </c>
      <c r="B48" s="48" t="str">
        <f t="array" ref="B48">IF($J48="","",INDEX(tx_ID,$J48))</f>
        <v/>
      </c>
      <c r="C48" s="49" t="str">
        <f t="array" ref="C48">IF($J48="","",INDEX(tx_Date,$J48))</f>
        <v/>
      </c>
      <c r="D48" s="48" t="str">
        <f t="array" ref="D48">IF($J48="","",INDEX(tx_CustName,$J48))</f>
        <v/>
      </c>
      <c r="E48" s="48" t="str">
        <f t="array" ref="E48">IF($J48="","",INDEX(tx_Product,$J48))</f>
        <v/>
      </c>
      <c r="F48" s="48" t="str">
        <f t="array" ref="F48">IF($J48="","",INDEX(tx_Category,$J48))</f>
        <v/>
      </c>
      <c r="G48" s="48" t="str">
        <f t="array" ref="G48">IF($J48="","",INDEX(tx_Region,$J48))</f>
        <v/>
      </c>
      <c r="H48" s="50" t="str">
        <f t="array" ref="H48">IF($J48="","",INDEX(tx_Qty,$J48))</f>
        <v/>
      </c>
      <c r="I48" s="51" t="str">
        <f t="array" ref="I48">IF($J48="","",INDEX(tx_Total,$J48))</f>
        <v/>
      </c>
      <c r="J48" s="52" t="str">
        <f t="shared" si="2"/>
        <v/>
      </c>
      <c r="L48" s="53">
        <f t="shared" si="3"/>
        <v>39</v>
      </c>
      <c r="M48" s="53">
        <f t="array" ref="M48">IF(AND(OR($B$3="All",INDEX(tx_Region,L48)=$B$3),OR($B$4="All",INDEX(tx_Category,L48)=$B$4),INDEX(tx_Total,L48)&gt;=$B$5),1,0)</f>
        <v>0</v>
      </c>
      <c r="N48" s="53">
        <f t="shared" si="4"/>
        <v>2</v>
      </c>
    </row>
    <row r="49" ht="15.75" customHeight="1">
      <c r="A49" s="47" t="str">
        <f t="shared" si="1"/>
        <v/>
      </c>
      <c r="B49" s="48" t="str">
        <f t="array" ref="B49">IF($J49="","",INDEX(tx_ID,$J49))</f>
        <v/>
      </c>
      <c r="C49" s="49" t="str">
        <f t="array" ref="C49">IF($J49="","",INDEX(tx_Date,$J49))</f>
        <v/>
      </c>
      <c r="D49" s="48" t="str">
        <f t="array" ref="D49">IF($J49="","",INDEX(tx_CustName,$J49))</f>
        <v/>
      </c>
      <c r="E49" s="48" t="str">
        <f t="array" ref="E49">IF($J49="","",INDEX(tx_Product,$J49))</f>
        <v/>
      </c>
      <c r="F49" s="48" t="str">
        <f t="array" ref="F49">IF($J49="","",INDEX(tx_Category,$J49))</f>
        <v/>
      </c>
      <c r="G49" s="48" t="str">
        <f t="array" ref="G49">IF($J49="","",INDEX(tx_Region,$J49))</f>
        <v/>
      </c>
      <c r="H49" s="50" t="str">
        <f t="array" ref="H49">IF($J49="","",INDEX(tx_Qty,$J49))</f>
        <v/>
      </c>
      <c r="I49" s="51" t="str">
        <f t="array" ref="I49">IF($J49="","",INDEX(tx_Total,$J49))</f>
        <v/>
      </c>
      <c r="J49" s="52" t="str">
        <f t="shared" si="2"/>
        <v/>
      </c>
      <c r="L49" s="53">
        <f t="shared" si="3"/>
        <v>40</v>
      </c>
      <c r="M49" s="53">
        <f t="array" ref="M49">IF(AND(OR($B$3="All",INDEX(tx_Region,L49)=$B$3),OR($B$4="All",INDEX(tx_Category,L49)=$B$4),INDEX(tx_Total,L49)&gt;=$B$5),1,0)</f>
        <v>0</v>
      </c>
      <c r="N49" s="53">
        <f t="shared" si="4"/>
        <v>2</v>
      </c>
    </row>
    <row r="50" ht="15.75" customHeight="1">
      <c r="A50" s="47" t="str">
        <f t="shared" si="1"/>
        <v/>
      </c>
      <c r="B50" s="48" t="str">
        <f t="array" ref="B50">IF($J50="","",INDEX(tx_ID,$J50))</f>
        <v/>
      </c>
      <c r="C50" s="49" t="str">
        <f t="array" ref="C50">IF($J50="","",INDEX(tx_Date,$J50))</f>
        <v/>
      </c>
      <c r="D50" s="48" t="str">
        <f t="array" ref="D50">IF($J50="","",INDEX(tx_CustName,$J50))</f>
        <v/>
      </c>
      <c r="E50" s="48" t="str">
        <f t="array" ref="E50">IF($J50="","",INDEX(tx_Product,$J50))</f>
        <v/>
      </c>
      <c r="F50" s="48" t="str">
        <f t="array" ref="F50">IF($J50="","",INDEX(tx_Category,$J50))</f>
        <v/>
      </c>
      <c r="G50" s="48" t="str">
        <f t="array" ref="G50">IF($J50="","",INDEX(tx_Region,$J50))</f>
        <v/>
      </c>
      <c r="H50" s="50" t="str">
        <f t="array" ref="H50">IF($J50="","",INDEX(tx_Qty,$J50))</f>
        <v/>
      </c>
      <c r="I50" s="51" t="str">
        <f t="array" ref="I50">IF($J50="","",INDEX(tx_Total,$J50))</f>
        <v/>
      </c>
      <c r="J50" s="52" t="str">
        <f t="shared" si="2"/>
        <v/>
      </c>
      <c r="L50" s="53">
        <f t="shared" si="3"/>
        <v>41</v>
      </c>
      <c r="M50" s="53">
        <f t="array" ref="M50">IF(AND(OR($B$3="All",INDEX(tx_Region,L50)=$B$3),OR($B$4="All",INDEX(tx_Category,L50)=$B$4),INDEX(tx_Total,L50)&gt;=$B$5),1,0)</f>
        <v>0</v>
      </c>
      <c r="N50" s="53">
        <f t="shared" si="4"/>
        <v>2</v>
      </c>
    </row>
    <row r="51" ht="15.75" customHeight="1">
      <c r="A51" s="47" t="str">
        <f t="shared" si="1"/>
        <v/>
      </c>
      <c r="B51" s="48" t="str">
        <f t="array" ref="B51">IF($J51="","",INDEX(tx_ID,$J51))</f>
        <v/>
      </c>
      <c r="C51" s="49" t="str">
        <f t="array" ref="C51">IF($J51="","",INDEX(tx_Date,$J51))</f>
        <v/>
      </c>
      <c r="D51" s="48" t="str">
        <f t="array" ref="D51">IF($J51="","",INDEX(tx_CustName,$J51))</f>
        <v/>
      </c>
      <c r="E51" s="48" t="str">
        <f t="array" ref="E51">IF($J51="","",INDEX(tx_Product,$J51))</f>
        <v/>
      </c>
      <c r="F51" s="48" t="str">
        <f t="array" ref="F51">IF($J51="","",INDEX(tx_Category,$J51))</f>
        <v/>
      </c>
      <c r="G51" s="48" t="str">
        <f t="array" ref="G51">IF($J51="","",INDEX(tx_Region,$J51))</f>
        <v/>
      </c>
      <c r="H51" s="50" t="str">
        <f t="array" ref="H51">IF($J51="","",INDEX(tx_Qty,$J51))</f>
        <v/>
      </c>
      <c r="I51" s="51" t="str">
        <f t="array" ref="I51">IF($J51="","",INDEX(tx_Total,$J51))</f>
        <v/>
      </c>
      <c r="J51" s="52" t="str">
        <f t="shared" si="2"/>
        <v/>
      </c>
      <c r="L51" s="53">
        <f t="shared" si="3"/>
        <v>42</v>
      </c>
      <c r="M51" s="53">
        <f t="array" ref="M51">IF(AND(OR($B$3="All",INDEX(tx_Region,L51)=$B$3),OR($B$4="All",INDEX(tx_Category,L51)=$B$4),INDEX(tx_Total,L51)&gt;=$B$5),1,0)</f>
        <v>0</v>
      </c>
      <c r="N51" s="53">
        <f t="shared" si="4"/>
        <v>2</v>
      </c>
    </row>
    <row r="52" ht="15.75" customHeight="1">
      <c r="A52" s="47" t="str">
        <f t="shared" si="1"/>
        <v/>
      </c>
      <c r="B52" s="48" t="str">
        <f t="array" ref="B52">IF($J52="","",INDEX(tx_ID,$J52))</f>
        <v/>
      </c>
      <c r="C52" s="49" t="str">
        <f t="array" ref="C52">IF($J52="","",INDEX(tx_Date,$J52))</f>
        <v/>
      </c>
      <c r="D52" s="48" t="str">
        <f t="array" ref="D52">IF($J52="","",INDEX(tx_CustName,$J52))</f>
        <v/>
      </c>
      <c r="E52" s="48" t="str">
        <f t="array" ref="E52">IF($J52="","",INDEX(tx_Product,$J52))</f>
        <v/>
      </c>
      <c r="F52" s="48" t="str">
        <f t="array" ref="F52">IF($J52="","",INDEX(tx_Category,$J52))</f>
        <v/>
      </c>
      <c r="G52" s="48" t="str">
        <f t="array" ref="G52">IF($J52="","",INDEX(tx_Region,$J52))</f>
        <v/>
      </c>
      <c r="H52" s="50" t="str">
        <f t="array" ref="H52">IF($J52="","",INDEX(tx_Qty,$J52))</f>
        <v/>
      </c>
      <c r="I52" s="51" t="str">
        <f t="array" ref="I52">IF($J52="","",INDEX(tx_Total,$J52))</f>
        <v/>
      </c>
      <c r="J52" s="52" t="str">
        <f t="shared" si="2"/>
        <v/>
      </c>
      <c r="L52" s="53">
        <f t="shared" si="3"/>
        <v>43</v>
      </c>
      <c r="M52" s="53">
        <f t="array" ref="M52">IF(AND(OR($B$3="All",INDEX(tx_Region,L52)=$B$3),OR($B$4="All",INDEX(tx_Category,L52)=$B$4),INDEX(tx_Total,L52)&gt;=$B$5),1,0)</f>
        <v>0</v>
      </c>
      <c r="N52" s="53">
        <f t="shared" si="4"/>
        <v>2</v>
      </c>
    </row>
    <row r="53" ht="15.75" customHeight="1">
      <c r="A53" s="47" t="str">
        <f t="shared" si="1"/>
        <v/>
      </c>
      <c r="B53" s="48" t="str">
        <f t="array" ref="B53">IF($J53="","",INDEX(tx_ID,$J53))</f>
        <v/>
      </c>
      <c r="C53" s="49" t="str">
        <f t="array" ref="C53">IF($J53="","",INDEX(tx_Date,$J53))</f>
        <v/>
      </c>
      <c r="D53" s="48" t="str">
        <f t="array" ref="D53">IF($J53="","",INDEX(tx_CustName,$J53))</f>
        <v/>
      </c>
      <c r="E53" s="48" t="str">
        <f t="array" ref="E53">IF($J53="","",INDEX(tx_Product,$J53))</f>
        <v/>
      </c>
      <c r="F53" s="48" t="str">
        <f t="array" ref="F53">IF($J53="","",INDEX(tx_Category,$J53))</f>
        <v/>
      </c>
      <c r="G53" s="48" t="str">
        <f t="array" ref="G53">IF($J53="","",INDEX(tx_Region,$J53))</f>
        <v/>
      </c>
      <c r="H53" s="50" t="str">
        <f t="array" ref="H53">IF($J53="","",INDEX(tx_Qty,$J53))</f>
        <v/>
      </c>
      <c r="I53" s="51" t="str">
        <f t="array" ref="I53">IF($J53="","",INDEX(tx_Total,$J53))</f>
        <v/>
      </c>
      <c r="J53" s="52" t="str">
        <f t="shared" si="2"/>
        <v/>
      </c>
      <c r="L53" s="53">
        <f t="shared" si="3"/>
        <v>44</v>
      </c>
      <c r="M53" s="53">
        <f t="array" ref="M53">IF(AND(OR($B$3="All",INDEX(tx_Region,L53)=$B$3),OR($B$4="All",INDEX(tx_Category,L53)=$B$4),INDEX(tx_Total,L53)&gt;=$B$5),1,0)</f>
        <v>0</v>
      </c>
      <c r="N53" s="53">
        <f t="shared" si="4"/>
        <v>2</v>
      </c>
    </row>
    <row r="54" ht="15.75" customHeight="1">
      <c r="A54" s="47" t="str">
        <f t="shared" si="1"/>
        <v/>
      </c>
      <c r="B54" s="48" t="str">
        <f t="array" ref="B54">IF($J54="","",INDEX(tx_ID,$J54))</f>
        <v/>
      </c>
      <c r="C54" s="49" t="str">
        <f t="array" ref="C54">IF($J54="","",INDEX(tx_Date,$J54))</f>
        <v/>
      </c>
      <c r="D54" s="48" t="str">
        <f t="array" ref="D54">IF($J54="","",INDEX(tx_CustName,$J54))</f>
        <v/>
      </c>
      <c r="E54" s="48" t="str">
        <f t="array" ref="E54">IF($J54="","",INDEX(tx_Product,$J54))</f>
        <v/>
      </c>
      <c r="F54" s="48" t="str">
        <f t="array" ref="F54">IF($J54="","",INDEX(tx_Category,$J54))</f>
        <v/>
      </c>
      <c r="G54" s="48" t="str">
        <f t="array" ref="G54">IF($J54="","",INDEX(tx_Region,$J54))</f>
        <v/>
      </c>
      <c r="H54" s="50" t="str">
        <f t="array" ref="H54">IF($J54="","",INDEX(tx_Qty,$J54))</f>
        <v/>
      </c>
      <c r="I54" s="51" t="str">
        <f t="array" ref="I54">IF($J54="","",INDEX(tx_Total,$J54))</f>
        <v/>
      </c>
      <c r="J54" s="52" t="str">
        <f t="shared" si="2"/>
        <v/>
      </c>
      <c r="L54" s="53">
        <f t="shared" si="3"/>
        <v>45</v>
      </c>
      <c r="M54" s="53">
        <f t="array" ref="M54">IF(AND(OR($B$3="All",INDEX(tx_Region,L54)=$B$3),OR($B$4="All",INDEX(tx_Category,L54)=$B$4),INDEX(tx_Total,L54)&gt;=$B$5),1,0)</f>
        <v>0</v>
      </c>
      <c r="N54" s="53">
        <f t="shared" si="4"/>
        <v>2</v>
      </c>
    </row>
    <row r="55" ht="15.75" customHeight="1">
      <c r="A55" s="47" t="str">
        <f t="shared" si="1"/>
        <v/>
      </c>
      <c r="B55" s="48" t="str">
        <f t="array" ref="B55">IF($J55="","",INDEX(tx_ID,$J55))</f>
        <v/>
      </c>
      <c r="C55" s="49" t="str">
        <f t="array" ref="C55">IF($J55="","",INDEX(tx_Date,$J55))</f>
        <v/>
      </c>
      <c r="D55" s="48" t="str">
        <f t="array" ref="D55">IF($J55="","",INDEX(tx_CustName,$J55))</f>
        <v/>
      </c>
      <c r="E55" s="48" t="str">
        <f t="array" ref="E55">IF($J55="","",INDEX(tx_Product,$J55))</f>
        <v/>
      </c>
      <c r="F55" s="48" t="str">
        <f t="array" ref="F55">IF($J55="","",INDEX(tx_Category,$J55))</f>
        <v/>
      </c>
      <c r="G55" s="48" t="str">
        <f t="array" ref="G55">IF($J55="","",INDEX(tx_Region,$J55))</f>
        <v/>
      </c>
      <c r="H55" s="50" t="str">
        <f t="array" ref="H55">IF($J55="","",INDEX(tx_Qty,$J55))</f>
        <v/>
      </c>
      <c r="I55" s="51" t="str">
        <f t="array" ref="I55">IF($J55="","",INDEX(tx_Total,$J55))</f>
        <v/>
      </c>
      <c r="J55" s="52" t="str">
        <f t="shared" si="2"/>
        <v/>
      </c>
      <c r="L55" s="53">
        <f t="shared" si="3"/>
        <v>46</v>
      </c>
      <c r="M55" s="53">
        <f t="array" ref="M55">IF(AND(OR($B$3="All",INDEX(tx_Region,L55)=$B$3),OR($B$4="All",INDEX(tx_Category,L55)=$B$4),INDEX(tx_Total,L55)&gt;=$B$5),1,0)</f>
        <v>0</v>
      </c>
      <c r="N55" s="53">
        <f t="shared" si="4"/>
        <v>2</v>
      </c>
    </row>
    <row r="56" ht="15.75" customHeight="1">
      <c r="A56" s="47" t="str">
        <f t="shared" si="1"/>
        <v/>
      </c>
      <c r="B56" s="48" t="str">
        <f t="array" ref="B56">IF($J56="","",INDEX(tx_ID,$J56))</f>
        <v/>
      </c>
      <c r="C56" s="49" t="str">
        <f t="array" ref="C56">IF($J56="","",INDEX(tx_Date,$J56))</f>
        <v/>
      </c>
      <c r="D56" s="48" t="str">
        <f t="array" ref="D56">IF($J56="","",INDEX(tx_CustName,$J56))</f>
        <v/>
      </c>
      <c r="E56" s="48" t="str">
        <f t="array" ref="E56">IF($J56="","",INDEX(tx_Product,$J56))</f>
        <v/>
      </c>
      <c r="F56" s="48" t="str">
        <f t="array" ref="F56">IF($J56="","",INDEX(tx_Category,$J56))</f>
        <v/>
      </c>
      <c r="G56" s="48" t="str">
        <f t="array" ref="G56">IF($J56="","",INDEX(tx_Region,$J56))</f>
        <v/>
      </c>
      <c r="H56" s="50" t="str">
        <f t="array" ref="H56">IF($J56="","",INDEX(tx_Qty,$J56))</f>
        <v/>
      </c>
      <c r="I56" s="51" t="str">
        <f t="array" ref="I56">IF($J56="","",INDEX(tx_Total,$J56))</f>
        <v/>
      </c>
      <c r="J56" s="52" t="str">
        <f t="shared" si="2"/>
        <v/>
      </c>
      <c r="L56" s="53">
        <f t="shared" si="3"/>
        <v>47</v>
      </c>
      <c r="M56" s="53">
        <f t="array" ref="M56">IF(AND(OR($B$3="All",INDEX(tx_Region,L56)=$B$3),OR($B$4="All",INDEX(tx_Category,L56)=$B$4),INDEX(tx_Total,L56)&gt;=$B$5),1,0)</f>
        <v>0</v>
      </c>
      <c r="N56" s="53">
        <f t="shared" si="4"/>
        <v>2</v>
      </c>
    </row>
    <row r="57" ht="15.75" customHeight="1">
      <c r="A57" s="47" t="str">
        <f t="shared" si="1"/>
        <v/>
      </c>
      <c r="B57" s="48" t="str">
        <f t="array" ref="B57">IF($J57="","",INDEX(tx_ID,$J57))</f>
        <v/>
      </c>
      <c r="C57" s="49" t="str">
        <f t="array" ref="C57">IF($J57="","",INDEX(tx_Date,$J57))</f>
        <v/>
      </c>
      <c r="D57" s="48" t="str">
        <f t="array" ref="D57">IF($J57="","",INDEX(tx_CustName,$J57))</f>
        <v/>
      </c>
      <c r="E57" s="48" t="str">
        <f t="array" ref="E57">IF($J57="","",INDEX(tx_Product,$J57))</f>
        <v/>
      </c>
      <c r="F57" s="48" t="str">
        <f t="array" ref="F57">IF($J57="","",INDEX(tx_Category,$J57))</f>
        <v/>
      </c>
      <c r="G57" s="48" t="str">
        <f t="array" ref="G57">IF($J57="","",INDEX(tx_Region,$J57))</f>
        <v/>
      </c>
      <c r="H57" s="50" t="str">
        <f t="array" ref="H57">IF($J57="","",INDEX(tx_Qty,$J57))</f>
        <v/>
      </c>
      <c r="I57" s="51" t="str">
        <f t="array" ref="I57">IF($J57="","",INDEX(tx_Total,$J57))</f>
        <v/>
      </c>
      <c r="J57" s="52" t="str">
        <f t="shared" si="2"/>
        <v/>
      </c>
      <c r="L57" s="53">
        <f t="shared" si="3"/>
        <v>48</v>
      </c>
      <c r="M57" s="53">
        <f t="array" ref="M57">IF(AND(OR($B$3="All",INDEX(tx_Region,L57)=$B$3),OR($B$4="All",INDEX(tx_Category,L57)=$B$4),INDEX(tx_Total,L57)&gt;=$B$5),1,0)</f>
        <v>0</v>
      </c>
      <c r="N57" s="53">
        <f t="shared" si="4"/>
        <v>2</v>
      </c>
    </row>
    <row r="58" ht="15.75" customHeight="1">
      <c r="A58" s="47" t="str">
        <f t="shared" si="1"/>
        <v/>
      </c>
      <c r="B58" s="48" t="str">
        <f t="array" ref="B58">IF($J58="","",INDEX(tx_ID,$J58))</f>
        <v/>
      </c>
      <c r="C58" s="49" t="str">
        <f t="array" ref="C58">IF($J58="","",INDEX(tx_Date,$J58))</f>
        <v/>
      </c>
      <c r="D58" s="48" t="str">
        <f t="array" ref="D58">IF($J58="","",INDEX(tx_CustName,$J58))</f>
        <v/>
      </c>
      <c r="E58" s="48" t="str">
        <f t="array" ref="E58">IF($J58="","",INDEX(tx_Product,$J58))</f>
        <v/>
      </c>
      <c r="F58" s="48" t="str">
        <f t="array" ref="F58">IF($J58="","",INDEX(tx_Category,$J58))</f>
        <v/>
      </c>
      <c r="G58" s="48" t="str">
        <f t="array" ref="G58">IF($J58="","",INDEX(tx_Region,$J58))</f>
        <v/>
      </c>
      <c r="H58" s="50" t="str">
        <f t="array" ref="H58">IF($J58="","",INDEX(tx_Qty,$J58))</f>
        <v/>
      </c>
      <c r="I58" s="51" t="str">
        <f t="array" ref="I58">IF($J58="","",INDEX(tx_Total,$J58))</f>
        <v/>
      </c>
      <c r="J58" s="52" t="str">
        <f t="shared" si="2"/>
        <v/>
      </c>
      <c r="L58" s="53">
        <f t="shared" si="3"/>
        <v>49</v>
      </c>
      <c r="M58" s="53">
        <f t="array" ref="M58">IF(AND(OR($B$3="All",INDEX(tx_Region,L58)=$B$3),OR($B$4="All",INDEX(tx_Category,L58)=$B$4),INDEX(tx_Total,L58)&gt;=$B$5),1,0)</f>
        <v>0</v>
      </c>
      <c r="N58" s="53">
        <f t="shared" si="4"/>
        <v>2</v>
      </c>
    </row>
    <row r="59" ht="15.75" customHeight="1">
      <c r="A59" s="47" t="str">
        <f t="shared" si="1"/>
        <v/>
      </c>
      <c r="B59" s="48" t="str">
        <f t="array" ref="B59">IF($J59="","",INDEX(tx_ID,$J59))</f>
        <v/>
      </c>
      <c r="C59" s="49" t="str">
        <f t="array" ref="C59">IF($J59="","",INDEX(tx_Date,$J59))</f>
        <v/>
      </c>
      <c r="D59" s="48" t="str">
        <f t="array" ref="D59">IF($J59="","",INDEX(tx_CustName,$J59))</f>
        <v/>
      </c>
      <c r="E59" s="48" t="str">
        <f t="array" ref="E59">IF($J59="","",INDEX(tx_Product,$J59))</f>
        <v/>
      </c>
      <c r="F59" s="48" t="str">
        <f t="array" ref="F59">IF($J59="","",INDEX(tx_Category,$J59))</f>
        <v/>
      </c>
      <c r="G59" s="48" t="str">
        <f t="array" ref="G59">IF($J59="","",INDEX(tx_Region,$J59))</f>
        <v/>
      </c>
      <c r="H59" s="50" t="str">
        <f t="array" ref="H59">IF($J59="","",INDEX(tx_Qty,$J59))</f>
        <v/>
      </c>
      <c r="I59" s="51" t="str">
        <f t="array" ref="I59">IF($J59="","",INDEX(tx_Total,$J59))</f>
        <v/>
      </c>
      <c r="J59" s="52" t="str">
        <f t="shared" si="2"/>
        <v/>
      </c>
      <c r="L59" s="53">
        <f t="shared" si="3"/>
        <v>50</v>
      </c>
      <c r="M59" s="53">
        <f t="array" ref="M59">IF(AND(OR($B$3="All",INDEX(tx_Region,L59)=$B$3),OR($B$4="All",INDEX(tx_Category,L59)=$B$4),INDEX(tx_Total,L59)&gt;=$B$5),1,0)</f>
        <v>0</v>
      </c>
      <c r="N59" s="53">
        <f t="shared" si="4"/>
        <v>2</v>
      </c>
    </row>
    <row r="60" ht="15.75" customHeight="1">
      <c r="A60" s="47" t="str">
        <f t="shared" si="1"/>
        <v/>
      </c>
      <c r="B60" s="48" t="str">
        <f t="array" ref="B60">IF($J60="","",INDEX(tx_ID,$J60))</f>
        <v/>
      </c>
      <c r="C60" s="49" t="str">
        <f t="array" ref="C60">IF($J60="","",INDEX(tx_Date,$J60))</f>
        <v/>
      </c>
      <c r="D60" s="48" t="str">
        <f t="array" ref="D60">IF($J60="","",INDEX(tx_CustName,$J60))</f>
        <v/>
      </c>
      <c r="E60" s="48" t="str">
        <f t="array" ref="E60">IF($J60="","",INDEX(tx_Product,$J60))</f>
        <v/>
      </c>
      <c r="F60" s="48" t="str">
        <f t="array" ref="F60">IF($J60="","",INDEX(tx_Category,$J60))</f>
        <v/>
      </c>
      <c r="G60" s="48" t="str">
        <f t="array" ref="G60">IF($J60="","",INDEX(tx_Region,$J60))</f>
        <v/>
      </c>
      <c r="H60" s="50" t="str">
        <f t="array" ref="H60">IF($J60="","",INDEX(tx_Qty,$J60))</f>
        <v/>
      </c>
      <c r="I60" s="51" t="str">
        <f t="array" ref="I60">IF($J60="","",INDEX(tx_Total,$J60))</f>
        <v/>
      </c>
      <c r="J60" s="52" t="str">
        <f t="shared" si="2"/>
        <v/>
      </c>
      <c r="L60" s="53">
        <f t="shared" si="3"/>
        <v>51</v>
      </c>
      <c r="M60" s="53">
        <f t="array" ref="M60">IF(AND(OR($B$3="All",INDEX(tx_Region,L60)=$B$3),OR($B$4="All",INDEX(tx_Category,L60)=$B$4),INDEX(tx_Total,L60)&gt;=$B$5),1,0)</f>
        <v>1</v>
      </c>
      <c r="N60" s="53">
        <f t="shared" si="4"/>
        <v>3</v>
      </c>
    </row>
    <row r="61" ht="15.75" customHeight="1">
      <c r="A61" s="47" t="str">
        <f t="shared" si="1"/>
        <v/>
      </c>
      <c r="B61" s="48" t="str">
        <f t="array" ref="B61">IF($J61="","",INDEX(tx_ID,$J61))</f>
        <v/>
      </c>
      <c r="C61" s="49" t="str">
        <f t="array" ref="C61">IF($J61="","",INDEX(tx_Date,$J61))</f>
        <v/>
      </c>
      <c r="D61" s="48" t="str">
        <f t="array" ref="D61">IF($J61="","",INDEX(tx_CustName,$J61))</f>
        <v/>
      </c>
      <c r="E61" s="48" t="str">
        <f t="array" ref="E61">IF($J61="","",INDEX(tx_Product,$J61))</f>
        <v/>
      </c>
      <c r="F61" s="48" t="str">
        <f t="array" ref="F61">IF($J61="","",INDEX(tx_Category,$J61))</f>
        <v/>
      </c>
      <c r="G61" s="48" t="str">
        <f t="array" ref="G61">IF($J61="","",INDEX(tx_Region,$J61))</f>
        <v/>
      </c>
      <c r="H61" s="50" t="str">
        <f t="array" ref="H61">IF($J61="","",INDEX(tx_Qty,$J61))</f>
        <v/>
      </c>
      <c r="I61" s="51" t="str">
        <f t="array" ref="I61">IF($J61="","",INDEX(tx_Total,$J61))</f>
        <v/>
      </c>
      <c r="J61" s="52" t="str">
        <f t="shared" si="2"/>
        <v/>
      </c>
      <c r="L61" s="53">
        <f t="shared" si="3"/>
        <v>52</v>
      </c>
      <c r="M61" s="53">
        <f t="array" ref="M61">IF(AND(OR($B$3="All",INDEX(tx_Region,L61)=$B$3),OR($B$4="All",INDEX(tx_Category,L61)=$B$4),INDEX(tx_Total,L61)&gt;=$B$5),1,0)</f>
        <v>0</v>
      </c>
      <c r="N61" s="53">
        <f t="shared" si="4"/>
        <v>3</v>
      </c>
    </row>
    <row r="62" ht="15.75" customHeight="1">
      <c r="A62" s="47" t="str">
        <f t="shared" si="1"/>
        <v/>
      </c>
      <c r="B62" s="48" t="str">
        <f t="array" ref="B62">IF($J62="","",INDEX(tx_ID,$J62))</f>
        <v/>
      </c>
      <c r="C62" s="49" t="str">
        <f t="array" ref="C62">IF($J62="","",INDEX(tx_Date,$J62))</f>
        <v/>
      </c>
      <c r="D62" s="48" t="str">
        <f t="array" ref="D62">IF($J62="","",INDEX(tx_CustName,$J62))</f>
        <v/>
      </c>
      <c r="E62" s="48" t="str">
        <f t="array" ref="E62">IF($J62="","",INDEX(tx_Product,$J62))</f>
        <v/>
      </c>
      <c r="F62" s="48" t="str">
        <f t="array" ref="F62">IF($J62="","",INDEX(tx_Category,$J62))</f>
        <v/>
      </c>
      <c r="G62" s="48" t="str">
        <f t="array" ref="G62">IF($J62="","",INDEX(tx_Region,$J62))</f>
        <v/>
      </c>
      <c r="H62" s="50" t="str">
        <f t="array" ref="H62">IF($J62="","",INDEX(tx_Qty,$J62))</f>
        <v/>
      </c>
      <c r="I62" s="51" t="str">
        <f t="array" ref="I62">IF($J62="","",INDEX(tx_Total,$J62))</f>
        <v/>
      </c>
      <c r="J62" s="52" t="str">
        <f t="shared" si="2"/>
        <v/>
      </c>
      <c r="L62" s="53">
        <f t="shared" si="3"/>
        <v>53</v>
      </c>
      <c r="M62" s="53">
        <f t="array" ref="M62">IF(AND(OR($B$3="All",INDEX(tx_Region,L62)=$B$3),OR($B$4="All",INDEX(tx_Category,L62)=$B$4),INDEX(tx_Total,L62)&gt;=$B$5),1,0)</f>
        <v>0</v>
      </c>
      <c r="N62" s="53">
        <f t="shared" si="4"/>
        <v>3</v>
      </c>
    </row>
    <row r="63" ht="15.75" customHeight="1">
      <c r="A63" s="47" t="str">
        <f t="shared" si="1"/>
        <v/>
      </c>
      <c r="B63" s="48" t="str">
        <f t="array" ref="B63">IF($J63="","",INDEX(tx_ID,$J63))</f>
        <v/>
      </c>
      <c r="C63" s="49" t="str">
        <f t="array" ref="C63">IF($J63="","",INDEX(tx_Date,$J63))</f>
        <v/>
      </c>
      <c r="D63" s="48" t="str">
        <f t="array" ref="D63">IF($J63="","",INDEX(tx_CustName,$J63))</f>
        <v/>
      </c>
      <c r="E63" s="48" t="str">
        <f t="array" ref="E63">IF($J63="","",INDEX(tx_Product,$J63))</f>
        <v/>
      </c>
      <c r="F63" s="48" t="str">
        <f t="array" ref="F63">IF($J63="","",INDEX(tx_Category,$J63))</f>
        <v/>
      </c>
      <c r="G63" s="48" t="str">
        <f t="array" ref="G63">IF($J63="","",INDEX(tx_Region,$J63))</f>
        <v/>
      </c>
      <c r="H63" s="50" t="str">
        <f t="array" ref="H63">IF($J63="","",INDEX(tx_Qty,$J63))</f>
        <v/>
      </c>
      <c r="I63" s="51" t="str">
        <f t="array" ref="I63">IF($J63="","",INDEX(tx_Total,$J63))</f>
        <v/>
      </c>
      <c r="J63" s="52" t="str">
        <f t="shared" si="2"/>
        <v/>
      </c>
      <c r="L63" s="53">
        <f t="shared" si="3"/>
        <v>54</v>
      </c>
      <c r="M63" s="53">
        <f t="array" ref="M63">IF(AND(OR($B$3="All",INDEX(tx_Region,L63)=$B$3),OR($B$4="All",INDEX(tx_Category,L63)=$B$4),INDEX(tx_Total,L63)&gt;=$B$5),1,0)</f>
        <v>0</v>
      </c>
      <c r="N63" s="53">
        <f t="shared" si="4"/>
        <v>3</v>
      </c>
    </row>
    <row r="64" ht="15.75" customHeight="1">
      <c r="A64" s="47" t="str">
        <f t="shared" si="1"/>
        <v/>
      </c>
      <c r="B64" s="48" t="str">
        <f t="array" ref="B64">IF($J64="","",INDEX(tx_ID,$J64))</f>
        <v/>
      </c>
      <c r="C64" s="49" t="str">
        <f t="array" ref="C64">IF($J64="","",INDEX(tx_Date,$J64))</f>
        <v/>
      </c>
      <c r="D64" s="48" t="str">
        <f t="array" ref="D64">IF($J64="","",INDEX(tx_CustName,$J64))</f>
        <v/>
      </c>
      <c r="E64" s="48" t="str">
        <f t="array" ref="E64">IF($J64="","",INDEX(tx_Product,$J64))</f>
        <v/>
      </c>
      <c r="F64" s="48" t="str">
        <f t="array" ref="F64">IF($J64="","",INDEX(tx_Category,$J64))</f>
        <v/>
      </c>
      <c r="G64" s="48" t="str">
        <f t="array" ref="G64">IF($J64="","",INDEX(tx_Region,$J64))</f>
        <v/>
      </c>
      <c r="H64" s="50" t="str">
        <f t="array" ref="H64">IF($J64="","",INDEX(tx_Qty,$J64))</f>
        <v/>
      </c>
      <c r="I64" s="51" t="str">
        <f t="array" ref="I64">IF($J64="","",INDEX(tx_Total,$J64))</f>
        <v/>
      </c>
      <c r="J64" s="52" t="str">
        <f t="shared" si="2"/>
        <v/>
      </c>
      <c r="L64" s="53">
        <f t="shared" si="3"/>
        <v>55</v>
      </c>
      <c r="M64" s="53">
        <f t="array" ref="M64">IF(AND(OR($B$3="All",INDEX(tx_Region,L64)=$B$3),OR($B$4="All",INDEX(tx_Category,L64)=$B$4),INDEX(tx_Total,L64)&gt;=$B$5),1,0)</f>
        <v>0</v>
      </c>
      <c r="N64" s="53">
        <f t="shared" si="4"/>
        <v>3</v>
      </c>
    </row>
    <row r="65" ht="15.75" customHeight="1">
      <c r="A65" s="47" t="str">
        <f t="shared" si="1"/>
        <v/>
      </c>
      <c r="B65" s="48" t="str">
        <f t="array" ref="B65">IF($J65="","",INDEX(tx_ID,$J65))</f>
        <v/>
      </c>
      <c r="C65" s="49" t="str">
        <f t="array" ref="C65">IF($J65="","",INDEX(tx_Date,$J65))</f>
        <v/>
      </c>
      <c r="D65" s="48" t="str">
        <f t="array" ref="D65">IF($J65="","",INDEX(tx_CustName,$J65))</f>
        <v/>
      </c>
      <c r="E65" s="48" t="str">
        <f t="array" ref="E65">IF($J65="","",INDEX(tx_Product,$J65))</f>
        <v/>
      </c>
      <c r="F65" s="48" t="str">
        <f t="array" ref="F65">IF($J65="","",INDEX(tx_Category,$J65))</f>
        <v/>
      </c>
      <c r="G65" s="48" t="str">
        <f t="array" ref="G65">IF($J65="","",INDEX(tx_Region,$J65))</f>
        <v/>
      </c>
      <c r="H65" s="50" t="str">
        <f t="array" ref="H65">IF($J65="","",INDEX(tx_Qty,$J65))</f>
        <v/>
      </c>
      <c r="I65" s="51" t="str">
        <f t="array" ref="I65">IF($J65="","",INDEX(tx_Total,$J65))</f>
        <v/>
      </c>
      <c r="J65" s="52" t="str">
        <f t="shared" si="2"/>
        <v/>
      </c>
      <c r="L65" s="53">
        <f t="shared" si="3"/>
        <v>56</v>
      </c>
      <c r="M65" s="53">
        <f t="array" ref="M65">IF(AND(OR($B$3="All",INDEX(tx_Region,L65)=$B$3),OR($B$4="All",INDEX(tx_Category,L65)=$B$4),INDEX(tx_Total,L65)&gt;=$B$5),1,0)</f>
        <v>0</v>
      </c>
      <c r="N65" s="53">
        <f t="shared" si="4"/>
        <v>3</v>
      </c>
    </row>
    <row r="66" ht="15.75" customHeight="1">
      <c r="A66" s="47" t="str">
        <f t="shared" si="1"/>
        <v/>
      </c>
      <c r="B66" s="48" t="str">
        <f t="array" ref="B66">IF($J66="","",INDEX(tx_ID,$J66))</f>
        <v/>
      </c>
      <c r="C66" s="49" t="str">
        <f t="array" ref="C66">IF($J66="","",INDEX(tx_Date,$J66))</f>
        <v/>
      </c>
      <c r="D66" s="48" t="str">
        <f t="array" ref="D66">IF($J66="","",INDEX(tx_CustName,$J66))</f>
        <v/>
      </c>
      <c r="E66" s="48" t="str">
        <f t="array" ref="E66">IF($J66="","",INDEX(tx_Product,$J66))</f>
        <v/>
      </c>
      <c r="F66" s="48" t="str">
        <f t="array" ref="F66">IF($J66="","",INDEX(tx_Category,$J66))</f>
        <v/>
      </c>
      <c r="G66" s="48" t="str">
        <f t="array" ref="G66">IF($J66="","",INDEX(tx_Region,$J66))</f>
        <v/>
      </c>
      <c r="H66" s="50" t="str">
        <f t="array" ref="H66">IF($J66="","",INDEX(tx_Qty,$J66))</f>
        <v/>
      </c>
      <c r="I66" s="51" t="str">
        <f t="array" ref="I66">IF($J66="","",INDEX(tx_Total,$J66))</f>
        <v/>
      </c>
      <c r="J66" s="52" t="str">
        <f t="shared" si="2"/>
        <v/>
      </c>
      <c r="L66" s="53">
        <f t="shared" si="3"/>
        <v>57</v>
      </c>
      <c r="M66" s="53">
        <f t="array" ref="M66">IF(AND(OR($B$3="All",INDEX(tx_Region,L66)=$B$3),OR($B$4="All",INDEX(tx_Category,L66)=$B$4),INDEX(tx_Total,L66)&gt;=$B$5),1,0)</f>
        <v>1</v>
      </c>
      <c r="N66" s="53">
        <f t="shared" si="4"/>
        <v>4</v>
      </c>
    </row>
    <row r="67" ht="15.75" customHeight="1">
      <c r="A67" s="47" t="str">
        <f t="shared" si="1"/>
        <v/>
      </c>
      <c r="B67" s="48" t="str">
        <f t="array" ref="B67">IF($J67="","",INDEX(tx_ID,$J67))</f>
        <v/>
      </c>
      <c r="C67" s="49" t="str">
        <f t="array" ref="C67">IF($J67="","",INDEX(tx_Date,$J67))</f>
        <v/>
      </c>
      <c r="D67" s="48" t="str">
        <f t="array" ref="D67">IF($J67="","",INDEX(tx_CustName,$J67))</f>
        <v/>
      </c>
      <c r="E67" s="48" t="str">
        <f t="array" ref="E67">IF($J67="","",INDEX(tx_Product,$J67))</f>
        <v/>
      </c>
      <c r="F67" s="48" t="str">
        <f t="array" ref="F67">IF($J67="","",INDEX(tx_Category,$J67))</f>
        <v/>
      </c>
      <c r="G67" s="48" t="str">
        <f t="array" ref="G67">IF($J67="","",INDEX(tx_Region,$J67))</f>
        <v/>
      </c>
      <c r="H67" s="50" t="str">
        <f t="array" ref="H67">IF($J67="","",INDEX(tx_Qty,$J67))</f>
        <v/>
      </c>
      <c r="I67" s="51" t="str">
        <f t="array" ref="I67">IF($J67="","",INDEX(tx_Total,$J67))</f>
        <v/>
      </c>
      <c r="J67" s="52" t="str">
        <f t="shared" si="2"/>
        <v/>
      </c>
      <c r="L67" s="53">
        <f t="shared" si="3"/>
        <v>58</v>
      </c>
      <c r="M67" s="53">
        <f t="array" ref="M67">IF(AND(OR($B$3="All",INDEX(tx_Region,L67)=$B$3),OR($B$4="All",INDEX(tx_Category,L67)=$B$4),INDEX(tx_Total,L67)&gt;=$B$5),1,0)</f>
        <v>1</v>
      </c>
      <c r="N67" s="53">
        <f t="shared" si="4"/>
        <v>5</v>
      </c>
    </row>
    <row r="68" ht="15.75" customHeight="1">
      <c r="A68" s="47" t="str">
        <f t="shared" si="1"/>
        <v/>
      </c>
      <c r="B68" s="48" t="str">
        <f t="array" ref="B68">IF($J68="","",INDEX(tx_ID,$J68))</f>
        <v/>
      </c>
      <c r="C68" s="49" t="str">
        <f t="array" ref="C68">IF($J68="","",INDEX(tx_Date,$J68))</f>
        <v/>
      </c>
      <c r="D68" s="48" t="str">
        <f t="array" ref="D68">IF($J68="","",INDEX(tx_CustName,$J68))</f>
        <v/>
      </c>
      <c r="E68" s="48" t="str">
        <f t="array" ref="E68">IF($J68="","",INDEX(tx_Product,$J68))</f>
        <v/>
      </c>
      <c r="F68" s="48" t="str">
        <f t="array" ref="F68">IF($J68="","",INDEX(tx_Category,$J68))</f>
        <v/>
      </c>
      <c r="G68" s="48" t="str">
        <f t="array" ref="G68">IF($J68="","",INDEX(tx_Region,$J68))</f>
        <v/>
      </c>
      <c r="H68" s="50" t="str">
        <f t="array" ref="H68">IF($J68="","",INDEX(tx_Qty,$J68))</f>
        <v/>
      </c>
      <c r="I68" s="51" t="str">
        <f t="array" ref="I68">IF($J68="","",INDEX(tx_Total,$J68))</f>
        <v/>
      </c>
      <c r="J68" s="52" t="str">
        <f t="shared" si="2"/>
        <v/>
      </c>
      <c r="L68" s="53">
        <f t="shared" si="3"/>
        <v>59</v>
      </c>
      <c r="M68" s="53">
        <f t="array" ref="M68">IF(AND(OR($B$3="All",INDEX(tx_Region,L68)=$B$3),OR($B$4="All",INDEX(tx_Category,L68)=$B$4),INDEX(tx_Total,L68)&gt;=$B$5),1,0)</f>
        <v>0</v>
      </c>
      <c r="N68" s="53">
        <f t="shared" si="4"/>
        <v>5</v>
      </c>
    </row>
    <row r="69" ht="15.75" customHeight="1">
      <c r="A69" s="47" t="str">
        <f t="shared" si="1"/>
        <v/>
      </c>
      <c r="B69" s="48" t="str">
        <f t="array" ref="B69">IF($J69="","",INDEX(tx_ID,$J69))</f>
        <v/>
      </c>
      <c r="C69" s="49" t="str">
        <f t="array" ref="C69">IF($J69="","",INDEX(tx_Date,$J69))</f>
        <v/>
      </c>
      <c r="D69" s="48" t="str">
        <f t="array" ref="D69">IF($J69="","",INDEX(tx_CustName,$J69))</f>
        <v/>
      </c>
      <c r="E69" s="48" t="str">
        <f t="array" ref="E69">IF($J69="","",INDEX(tx_Product,$J69))</f>
        <v/>
      </c>
      <c r="F69" s="48" t="str">
        <f t="array" ref="F69">IF($J69="","",INDEX(tx_Category,$J69))</f>
        <v/>
      </c>
      <c r="G69" s="48" t="str">
        <f t="array" ref="G69">IF($J69="","",INDEX(tx_Region,$J69))</f>
        <v/>
      </c>
      <c r="H69" s="50" t="str">
        <f t="array" ref="H69">IF($J69="","",INDEX(tx_Qty,$J69))</f>
        <v/>
      </c>
      <c r="I69" s="51" t="str">
        <f t="array" ref="I69">IF($J69="","",INDEX(tx_Total,$J69))</f>
        <v/>
      </c>
      <c r="J69" s="52" t="str">
        <f t="shared" si="2"/>
        <v/>
      </c>
      <c r="L69" s="53">
        <f t="shared" si="3"/>
        <v>60</v>
      </c>
      <c r="M69" s="53">
        <f t="array" ref="M69">IF(AND(OR($B$3="All",INDEX(tx_Region,L69)=$B$3),OR($B$4="All",INDEX(tx_Category,L69)=$B$4),INDEX(tx_Total,L69)&gt;=$B$5),1,0)</f>
        <v>0</v>
      </c>
      <c r="N69" s="53">
        <f t="shared" si="4"/>
        <v>5</v>
      </c>
    </row>
    <row r="70" ht="15.75" customHeight="1">
      <c r="A70" s="47" t="str">
        <f t="shared" si="1"/>
        <v/>
      </c>
      <c r="B70" s="48" t="str">
        <f t="array" ref="B70">IF($J70="","",INDEX(tx_ID,$J70))</f>
        <v/>
      </c>
      <c r="C70" s="49" t="str">
        <f t="array" ref="C70">IF($J70="","",INDEX(tx_Date,$J70))</f>
        <v/>
      </c>
      <c r="D70" s="48" t="str">
        <f t="array" ref="D70">IF($J70="","",INDEX(tx_CustName,$J70))</f>
        <v/>
      </c>
      <c r="E70" s="48" t="str">
        <f t="array" ref="E70">IF($J70="","",INDEX(tx_Product,$J70))</f>
        <v/>
      </c>
      <c r="F70" s="48" t="str">
        <f t="array" ref="F70">IF($J70="","",INDEX(tx_Category,$J70))</f>
        <v/>
      </c>
      <c r="G70" s="48" t="str">
        <f t="array" ref="G70">IF($J70="","",INDEX(tx_Region,$J70))</f>
        <v/>
      </c>
      <c r="H70" s="50" t="str">
        <f t="array" ref="H70">IF($J70="","",INDEX(tx_Qty,$J70))</f>
        <v/>
      </c>
      <c r="I70" s="51" t="str">
        <f t="array" ref="I70">IF($J70="","",INDEX(tx_Total,$J70))</f>
        <v/>
      </c>
      <c r="J70" s="52" t="str">
        <f t="shared" si="2"/>
        <v/>
      </c>
      <c r="L70" s="53">
        <f t="shared" si="3"/>
        <v>61</v>
      </c>
      <c r="M70" s="53">
        <f t="array" ref="M70">IF(AND(OR($B$3="All",INDEX(tx_Region,L70)=$B$3),OR($B$4="All",INDEX(tx_Category,L70)=$B$4),INDEX(tx_Total,L70)&gt;=$B$5),1,0)</f>
        <v>0</v>
      </c>
      <c r="N70" s="53">
        <f t="shared" si="4"/>
        <v>5</v>
      </c>
    </row>
    <row r="71" ht="15.75" customHeight="1">
      <c r="A71" s="47" t="str">
        <f t="shared" si="1"/>
        <v/>
      </c>
      <c r="B71" s="48" t="str">
        <f t="array" ref="B71">IF($J71="","",INDEX(tx_ID,$J71))</f>
        <v/>
      </c>
      <c r="C71" s="49" t="str">
        <f t="array" ref="C71">IF($J71="","",INDEX(tx_Date,$J71))</f>
        <v/>
      </c>
      <c r="D71" s="48" t="str">
        <f t="array" ref="D71">IF($J71="","",INDEX(tx_CustName,$J71))</f>
        <v/>
      </c>
      <c r="E71" s="48" t="str">
        <f t="array" ref="E71">IF($J71="","",INDEX(tx_Product,$J71))</f>
        <v/>
      </c>
      <c r="F71" s="48" t="str">
        <f t="array" ref="F71">IF($J71="","",INDEX(tx_Category,$J71))</f>
        <v/>
      </c>
      <c r="G71" s="48" t="str">
        <f t="array" ref="G71">IF($J71="","",INDEX(tx_Region,$J71))</f>
        <v/>
      </c>
      <c r="H71" s="50" t="str">
        <f t="array" ref="H71">IF($J71="","",INDEX(tx_Qty,$J71))</f>
        <v/>
      </c>
      <c r="I71" s="51" t="str">
        <f t="array" ref="I71">IF($J71="","",INDEX(tx_Total,$J71))</f>
        <v/>
      </c>
      <c r="J71" s="52" t="str">
        <f t="shared" si="2"/>
        <v/>
      </c>
      <c r="L71" s="53">
        <f t="shared" si="3"/>
        <v>62</v>
      </c>
      <c r="M71" s="53">
        <f t="array" ref="M71">IF(AND(OR($B$3="All",INDEX(tx_Region,L71)=$B$3),OR($B$4="All",INDEX(tx_Category,L71)=$B$4),INDEX(tx_Total,L71)&gt;=$B$5),1,0)</f>
        <v>0</v>
      </c>
      <c r="N71" s="53">
        <f t="shared" si="4"/>
        <v>5</v>
      </c>
    </row>
    <row r="72" ht="15.75" customHeight="1">
      <c r="A72" s="47" t="str">
        <f t="shared" si="1"/>
        <v/>
      </c>
      <c r="B72" s="48" t="str">
        <f t="array" ref="B72">IF($J72="","",INDEX(tx_ID,$J72))</f>
        <v/>
      </c>
      <c r="C72" s="49" t="str">
        <f t="array" ref="C72">IF($J72="","",INDEX(tx_Date,$J72))</f>
        <v/>
      </c>
      <c r="D72" s="48" t="str">
        <f t="array" ref="D72">IF($J72="","",INDEX(tx_CustName,$J72))</f>
        <v/>
      </c>
      <c r="E72" s="48" t="str">
        <f t="array" ref="E72">IF($J72="","",INDEX(tx_Product,$J72))</f>
        <v/>
      </c>
      <c r="F72" s="48" t="str">
        <f t="array" ref="F72">IF($J72="","",INDEX(tx_Category,$J72))</f>
        <v/>
      </c>
      <c r="G72" s="48" t="str">
        <f t="array" ref="G72">IF($J72="","",INDEX(tx_Region,$J72))</f>
        <v/>
      </c>
      <c r="H72" s="50" t="str">
        <f t="array" ref="H72">IF($J72="","",INDEX(tx_Qty,$J72))</f>
        <v/>
      </c>
      <c r="I72" s="51" t="str">
        <f t="array" ref="I72">IF($J72="","",INDEX(tx_Total,$J72))</f>
        <v/>
      </c>
      <c r="J72" s="52" t="str">
        <f t="shared" si="2"/>
        <v/>
      </c>
      <c r="L72" s="53">
        <f t="shared" si="3"/>
        <v>63</v>
      </c>
      <c r="M72" s="53">
        <f t="array" ref="M72">IF(AND(OR($B$3="All",INDEX(tx_Region,L72)=$B$3),OR($B$4="All",INDEX(tx_Category,L72)=$B$4),INDEX(tx_Total,L72)&gt;=$B$5),1,0)</f>
        <v>0</v>
      </c>
      <c r="N72" s="53">
        <f t="shared" si="4"/>
        <v>5</v>
      </c>
    </row>
    <row r="73" ht="15.75" customHeight="1">
      <c r="A73" s="47" t="str">
        <f t="shared" si="1"/>
        <v/>
      </c>
      <c r="B73" s="48" t="str">
        <f t="array" ref="B73">IF($J73="","",INDEX(tx_ID,$J73))</f>
        <v/>
      </c>
      <c r="C73" s="49" t="str">
        <f t="array" ref="C73">IF($J73="","",INDEX(tx_Date,$J73))</f>
        <v/>
      </c>
      <c r="D73" s="48" t="str">
        <f t="array" ref="D73">IF($J73="","",INDEX(tx_CustName,$J73))</f>
        <v/>
      </c>
      <c r="E73" s="48" t="str">
        <f t="array" ref="E73">IF($J73="","",INDEX(tx_Product,$J73))</f>
        <v/>
      </c>
      <c r="F73" s="48" t="str">
        <f t="array" ref="F73">IF($J73="","",INDEX(tx_Category,$J73))</f>
        <v/>
      </c>
      <c r="G73" s="48" t="str">
        <f t="array" ref="G73">IF($J73="","",INDEX(tx_Region,$J73))</f>
        <v/>
      </c>
      <c r="H73" s="50" t="str">
        <f t="array" ref="H73">IF($J73="","",INDEX(tx_Qty,$J73))</f>
        <v/>
      </c>
      <c r="I73" s="51" t="str">
        <f t="array" ref="I73">IF($J73="","",INDEX(tx_Total,$J73))</f>
        <v/>
      </c>
      <c r="J73" s="52" t="str">
        <f t="shared" si="2"/>
        <v/>
      </c>
      <c r="L73" s="53">
        <f t="shared" si="3"/>
        <v>64</v>
      </c>
      <c r="M73" s="53">
        <f t="array" ref="M73">IF(AND(OR($B$3="All",INDEX(tx_Region,L73)=$B$3),OR($B$4="All",INDEX(tx_Category,L73)=$B$4),INDEX(tx_Total,L73)&gt;=$B$5),1,0)</f>
        <v>0</v>
      </c>
      <c r="N73" s="53">
        <f t="shared" si="4"/>
        <v>5</v>
      </c>
    </row>
    <row r="74" ht="15.75" customHeight="1">
      <c r="A74" s="47" t="str">
        <f t="shared" si="1"/>
        <v/>
      </c>
      <c r="B74" s="48" t="str">
        <f t="array" ref="B74">IF($J74="","",INDEX(tx_ID,$J74))</f>
        <v/>
      </c>
      <c r="C74" s="49" t="str">
        <f t="array" ref="C74">IF($J74="","",INDEX(tx_Date,$J74))</f>
        <v/>
      </c>
      <c r="D74" s="48" t="str">
        <f t="array" ref="D74">IF($J74="","",INDEX(tx_CustName,$J74))</f>
        <v/>
      </c>
      <c r="E74" s="48" t="str">
        <f t="array" ref="E74">IF($J74="","",INDEX(tx_Product,$J74))</f>
        <v/>
      </c>
      <c r="F74" s="48" t="str">
        <f t="array" ref="F74">IF($J74="","",INDEX(tx_Category,$J74))</f>
        <v/>
      </c>
      <c r="G74" s="48" t="str">
        <f t="array" ref="G74">IF($J74="","",INDEX(tx_Region,$J74))</f>
        <v/>
      </c>
      <c r="H74" s="50" t="str">
        <f t="array" ref="H74">IF($J74="","",INDEX(tx_Qty,$J74))</f>
        <v/>
      </c>
      <c r="I74" s="51" t="str">
        <f t="array" ref="I74">IF($J74="","",INDEX(tx_Total,$J74))</f>
        <v/>
      </c>
      <c r="J74" s="52" t="str">
        <f t="shared" si="2"/>
        <v/>
      </c>
      <c r="L74" s="53">
        <f t="shared" si="3"/>
        <v>65</v>
      </c>
      <c r="M74" s="53">
        <f t="array" ref="M74">IF(AND(OR($B$3="All",INDEX(tx_Region,L74)=$B$3),OR($B$4="All",INDEX(tx_Category,L74)=$B$4),INDEX(tx_Total,L74)&gt;=$B$5),1,0)</f>
        <v>0</v>
      </c>
      <c r="N74" s="53">
        <f t="shared" si="4"/>
        <v>5</v>
      </c>
    </row>
    <row r="75" ht="15.75" customHeight="1">
      <c r="A75" s="47" t="str">
        <f t="shared" si="1"/>
        <v/>
      </c>
      <c r="B75" s="48" t="str">
        <f t="array" ref="B75">IF($J75="","",INDEX(tx_ID,$J75))</f>
        <v/>
      </c>
      <c r="C75" s="49" t="str">
        <f t="array" ref="C75">IF($J75="","",INDEX(tx_Date,$J75))</f>
        <v/>
      </c>
      <c r="D75" s="48" t="str">
        <f t="array" ref="D75">IF($J75="","",INDEX(tx_CustName,$J75))</f>
        <v/>
      </c>
      <c r="E75" s="48" t="str">
        <f t="array" ref="E75">IF($J75="","",INDEX(tx_Product,$J75))</f>
        <v/>
      </c>
      <c r="F75" s="48" t="str">
        <f t="array" ref="F75">IF($J75="","",INDEX(tx_Category,$J75))</f>
        <v/>
      </c>
      <c r="G75" s="48" t="str">
        <f t="array" ref="G75">IF($J75="","",INDEX(tx_Region,$J75))</f>
        <v/>
      </c>
      <c r="H75" s="50" t="str">
        <f t="array" ref="H75">IF($J75="","",INDEX(tx_Qty,$J75))</f>
        <v/>
      </c>
      <c r="I75" s="51" t="str">
        <f t="array" ref="I75">IF($J75="","",INDEX(tx_Total,$J75))</f>
        <v/>
      </c>
      <c r="J75" s="52" t="str">
        <f t="shared" si="2"/>
        <v/>
      </c>
      <c r="L75" s="53">
        <f t="shared" si="3"/>
        <v>66</v>
      </c>
      <c r="M75" s="53">
        <f t="array" ref="M75">IF(AND(OR($B$3="All",INDEX(tx_Region,L75)=$B$3),OR($B$4="All",INDEX(tx_Category,L75)=$B$4),INDEX(tx_Total,L75)&gt;=$B$5),1,0)</f>
        <v>0</v>
      </c>
      <c r="N75" s="53">
        <f t="shared" si="4"/>
        <v>5</v>
      </c>
    </row>
    <row r="76" ht="15.75" customHeight="1">
      <c r="A76" s="47" t="str">
        <f t="shared" si="1"/>
        <v/>
      </c>
      <c r="B76" s="48" t="str">
        <f t="array" ref="B76">IF($J76="","",INDEX(tx_ID,$J76))</f>
        <v/>
      </c>
      <c r="C76" s="49" t="str">
        <f t="array" ref="C76">IF($J76="","",INDEX(tx_Date,$J76))</f>
        <v/>
      </c>
      <c r="D76" s="48" t="str">
        <f t="array" ref="D76">IF($J76="","",INDEX(tx_CustName,$J76))</f>
        <v/>
      </c>
      <c r="E76" s="48" t="str">
        <f t="array" ref="E76">IF($J76="","",INDEX(tx_Product,$J76))</f>
        <v/>
      </c>
      <c r="F76" s="48" t="str">
        <f t="array" ref="F76">IF($J76="","",INDEX(tx_Category,$J76))</f>
        <v/>
      </c>
      <c r="G76" s="48" t="str">
        <f t="array" ref="G76">IF($J76="","",INDEX(tx_Region,$J76))</f>
        <v/>
      </c>
      <c r="H76" s="50" t="str">
        <f t="array" ref="H76">IF($J76="","",INDEX(tx_Qty,$J76))</f>
        <v/>
      </c>
      <c r="I76" s="51" t="str">
        <f t="array" ref="I76">IF($J76="","",INDEX(tx_Total,$J76))</f>
        <v/>
      </c>
      <c r="J76" s="52" t="str">
        <f t="shared" si="2"/>
        <v/>
      </c>
      <c r="L76" s="53">
        <f t="shared" si="3"/>
        <v>67</v>
      </c>
      <c r="M76" s="53">
        <f t="array" ref="M76">IF(AND(OR($B$3="All",INDEX(tx_Region,L76)=$B$3),OR($B$4="All",INDEX(tx_Category,L76)=$B$4),INDEX(tx_Total,L76)&gt;=$B$5),1,0)</f>
        <v>0</v>
      </c>
      <c r="N76" s="53">
        <f t="shared" si="4"/>
        <v>5</v>
      </c>
    </row>
    <row r="77" ht="15.75" customHeight="1">
      <c r="A77" s="47" t="str">
        <f t="shared" si="1"/>
        <v/>
      </c>
      <c r="B77" s="48" t="str">
        <f t="array" ref="B77">IF($J77="","",INDEX(tx_ID,$J77))</f>
        <v/>
      </c>
      <c r="C77" s="49" t="str">
        <f t="array" ref="C77">IF($J77="","",INDEX(tx_Date,$J77))</f>
        <v/>
      </c>
      <c r="D77" s="48" t="str">
        <f t="array" ref="D77">IF($J77="","",INDEX(tx_CustName,$J77))</f>
        <v/>
      </c>
      <c r="E77" s="48" t="str">
        <f t="array" ref="E77">IF($J77="","",INDEX(tx_Product,$J77))</f>
        <v/>
      </c>
      <c r="F77" s="48" t="str">
        <f t="array" ref="F77">IF($J77="","",INDEX(tx_Category,$J77))</f>
        <v/>
      </c>
      <c r="G77" s="48" t="str">
        <f t="array" ref="G77">IF($J77="","",INDEX(tx_Region,$J77))</f>
        <v/>
      </c>
      <c r="H77" s="50" t="str">
        <f t="array" ref="H77">IF($J77="","",INDEX(tx_Qty,$J77))</f>
        <v/>
      </c>
      <c r="I77" s="51" t="str">
        <f t="array" ref="I77">IF($J77="","",INDEX(tx_Total,$J77))</f>
        <v/>
      </c>
      <c r="J77" s="52" t="str">
        <f t="shared" si="2"/>
        <v/>
      </c>
      <c r="L77" s="53">
        <f t="shared" si="3"/>
        <v>68</v>
      </c>
      <c r="M77" s="53">
        <f t="array" ref="M77">IF(AND(OR($B$3="All",INDEX(tx_Region,L77)=$B$3),OR($B$4="All",INDEX(tx_Category,L77)=$B$4),INDEX(tx_Total,L77)&gt;=$B$5),1,0)</f>
        <v>0</v>
      </c>
      <c r="N77" s="53">
        <f t="shared" si="4"/>
        <v>5</v>
      </c>
    </row>
    <row r="78" ht="15.75" customHeight="1">
      <c r="A78" s="47" t="str">
        <f t="shared" si="1"/>
        <v/>
      </c>
      <c r="B78" s="48" t="str">
        <f t="array" ref="B78">IF($J78="","",INDEX(tx_ID,$J78))</f>
        <v/>
      </c>
      <c r="C78" s="49" t="str">
        <f t="array" ref="C78">IF($J78="","",INDEX(tx_Date,$J78))</f>
        <v/>
      </c>
      <c r="D78" s="48" t="str">
        <f t="array" ref="D78">IF($J78="","",INDEX(tx_CustName,$J78))</f>
        <v/>
      </c>
      <c r="E78" s="48" t="str">
        <f t="array" ref="E78">IF($J78="","",INDEX(tx_Product,$J78))</f>
        <v/>
      </c>
      <c r="F78" s="48" t="str">
        <f t="array" ref="F78">IF($J78="","",INDEX(tx_Category,$J78))</f>
        <v/>
      </c>
      <c r="G78" s="48" t="str">
        <f t="array" ref="G78">IF($J78="","",INDEX(tx_Region,$J78))</f>
        <v/>
      </c>
      <c r="H78" s="50" t="str">
        <f t="array" ref="H78">IF($J78="","",INDEX(tx_Qty,$J78))</f>
        <v/>
      </c>
      <c r="I78" s="51" t="str">
        <f t="array" ref="I78">IF($J78="","",INDEX(tx_Total,$J78))</f>
        <v/>
      </c>
      <c r="J78" s="52" t="str">
        <f t="shared" si="2"/>
        <v/>
      </c>
      <c r="L78" s="53">
        <f t="shared" si="3"/>
        <v>69</v>
      </c>
      <c r="M78" s="53">
        <f t="array" ref="M78">IF(AND(OR($B$3="All",INDEX(tx_Region,L78)=$B$3),OR($B$4="All",INDEX(tx_Category,L78)=$B$4),INDEX(tx_Total,L78)&gt;=$B$5),1,0)</f>
        <v>0</v>
      </c>
      <c r="N78" s="53">
        <f t="shared" si="4"/>
        <v>5</v>
      </c>
    </row>
    <row r="79" ht="15.75" customHeight="1">
      <c r="A79" s="47" t="str">
        <f t="shared" si="1"/>
        <v/>
      </c>
      <c r="B79" s="48" t="str">
        <f t="array" ref="B79">IF($J79="","",INDEX(tx_ID,$J79))</f>
        <v/>
      </c>
      <c r="C79" s="49" t="str">
        <f t="array" ref="C79">IF($J79="","",INDEX(tx_Date,$J79))</f>
        <v/>
      </c>
      <c r="D79" s="48" t="str">
        <f t="array" ref="D79">IF($J79="","",INDEX(tx_CustName,$J79))</f>
        <v/>
      </c>
      <c r="E79" s="48" t="str">
        <f t="array" ref="E79">IF($J79="","",INDEX(tx_Product,$J79))</f>
        <v/>
      </c>
      <c r="F79" s="48" t="str">
        <f t="array" ref="F79">IF($J79="","",INDEX(tx_Category,$J79))</f>
        <v/>
      </c>
      <c r="G79" s="48" t="str">
        <f t="array" ref="G79">IF($J79="","",INDEX(tx_Region,$J79))</f>
        <v/>
      </c>
      <c r="H79" s="50" t="str">
        <f t="array" ref="H79">IF($J79="","",INDEX(tx_Qty,$J79))</f>
        <v/>
      </c>
      <c r="I79" s="51" t="str">
        <f t="array" ref="I79">IF($J79="","",INDEX(tx_Total,$J79))</f>
        <v/>
      </c>
      <c r="J79" s="52" t="str">
        <f t="shared" si="2"/>
        <v/>
      </c>
      <c r="L79" s="53">
        <f t="shared" si="3"/>
        <v>70</v>
      </c>
      <c r="M79" s="53">
        <f t="array" ref="M79">IF(AND(OR($B$3="All",INDEX(tx_Region,L79)=$B$3),OR($B$4="All",INDEX(tx_Category,L79)=$B$4),INDEX(tx_Total,L79)&gt;=$B$5),1,0)</f>
        <v>0</v>
      </c>
      <c r="N79" s="53">
        <f t="shared" si="4"/>
        <v>5</v>
      </c>
    </row>
    <row r="80" ht="15.75" customHeight="1">
      <c r="A80" s="47" t="str">
        <f t="shared" si="1"/>
        <v/>
      </c>
      <c r="B80" s="48" t="str">
        <f t="array" ref="B80">IF($J80="","",INDEX(tx_ID,$J80))</f>
        <v/>
      </c>
      <c r="C80" s="49" t="str">
        <f t="array" ref="C80">IF($J80="","",INDEX(tx_Date,$J80))</f>
        <v/>
      </c>
      <c r="D80" s="48" t="str">
        <f t="array" ref="D80">IF($J80="","",INDEX(tx_CustName,$J80))</f>
        <v/>
      </c>
      <c r="E80" s="48" t="str">
        <f t="array" ref="E80">IF($J80="","",INDEX(tx_Product,$J80))</f>
        <v/>
      </c>
      <c r="F80" s="48" t="str">
        <f t="array" ref="F80">IF($J80="","",INDEX(tx_Category,$J80))</f>
        <v/>
      </c>
      <c r="G80" s="48" t="str">
        <f t="array" ref="G80">IF($J80="","",INDEX(tx_Region,$J80))</f>
        <v/>
      </c>
      <c r="H80" s="50" t="str">
        <f t="array" ref="H80">IF($J80="","",INDEX(tx_Qty,$J80))</f>
        <v/>
      </c>
      <c r="I80" s="51" t="str">
        <f t="array" ref="I80">IF($J80="","",INDEX(tx_Total,$J80))</f>
        <v/>
      </c>
      <c r="J80" s="52" t="str">
        <f t="shared" si="2"/>
        <v/>
      </c>
      <c r="L80" s="53">
        <f t="shared" si="3"/>
        <v>71</v>
      </c>
      <c r="M80" s="53">
        <f t="array" ref="M80">IF(AND(OR($B$3="All",INDEX(tx_Region,L80)=$B$3),OR($B$4="All",INDEX(tx_Category,L80)=$B$4),INDEX(tx_Total,L80)&gt;=$B$5),1,0)</f>
        <v>0</v>
      </c>
      <c r="N80" s="53">
        <f t="shared" si="4"/>
        <v>5</v>
      </c>
    </row>
    <row r="81" ht="15.75" customHeight="1">
      <c r="A81" s="47" t="str">
        <f t="shared" si="1"/>
        <v/>
      </c>
      <c r="B81" s="48" t="str">
        <f t="array" ref="B81">IF($J81="","",INDEX(tx_ID,$J81))</f>
        <v/>
      </c>
      <c r="C81" s="49" t="str">
        <f t="array" ref="C81">IF($J81="","",INDEX(tx_Date,$J81))</f>
        <v/>
      </c>
      <c r="D81" s="48" t="str">
        <f t="array" ref="D81">IF($J81="","",INDEX(tx_CustName,$J81))</f>
        <v/>
      </c>
      <c r="E81" s="48" t="str">
        <f t="array" ref="E81">IF($J81="","",INDEX(tx_Product,$J81))</f>
        <v/>
      </c>
      <c r="F81" s="48" t="str">
        <f t="array" ref="F81">IF($J81="","",INDEX(tx_Category,$J81))</f>
        <v/>
      </c>
      <c r="G81" s="48" t="str">
        <f t="array" ref="G81">IF($J81="","",INDEX(tx_Region,$J81))</f>
        <v/>
      </c>
      <c r="H81" s="50" t="str">
        <f t="array" ref="H81">IF($J81="","",INDEX(tx_Qty,$J81))</f>
        <v/>
      </c>
      <c r="I81" s="51" t="str">
        <f t="array" ref="I81">IF($J81="","",INDEX(tx_Total,$J81))</f>
        <v/>
      </c>
      <c r="J81" s="52" t="str">
        <f t="shared" si="2"/>
        <v/>
      </c>
      <c r="L81" s="53">
        <f t="shared" si="3"/>
        <v>72</v>
      </c>
      <c r="M81" s="53">
        <f t="array" ref="M81">IF(AND(OR($B$3="All",INDEX(tx_Region,L81)=$B$3),OR($B$4="All",INDEX(tx_Category,L81)=$B$4),INDEX(tx_Total,L81)&gt;=$B$5),1,0)</f>
        <v>0</v>
      </c>
      <c r="N81" s="53">
        <f t="shared" si="4"/>
        <v>5</v>
      </c>
    </row>
    <row r="82" ht="15.75" customHeight="1">
      <c r="A82" s="47" t="str">
        <f t="shared" si="1"/>
        <v/>
      </c>
      <c r="B82" s="48" t="str">
        <f t="array" ref="B82">IF($J82="","",INDEX(tx_ID,$J82))</f>
        <v/>
      </c>
      <c r="C82" s="49" t="str">
        <f t="array" ref="C82">IF($J82="","",INDEX(tx_Date,$J82))</f>
        <v/>
      </c>
      <c r="D82" s="48" t="str">
        <f t="array" ref="D82">IF($J82="","",INDEX(tx_CustName,$J82))</f>
        <v/>
      </c>
      <c r="E82" s="48" t="str">
        <f t="array" ref="E82">IF($J82="","",INDEX(tx_Product,$J82))</f>
        <v/>
      </c>
      <c r="F82" s="48" t="str">
        <f t="array" ref="F82">IF($J82="","",INDEX(tx_Category,$J82))</f>
        <v/>
      </c>
      <c r="G82" s="48" t="str">
        <f t="array" ref="G82">IF($J82="","",INDEX(tx_Region,$J82))</f>
        <v/>
      </c>
      <c r="H82" s="50" t="str">
        <f t="array" ref="H82">IF($J82="","",INDEX(tx_Qty,$J82))</f>
        <v/>
      </c>
      <c r="I82" s="51" t="str">
        <f t="array" ref="I82">IF($J82="","",INDEX(tx_Total,$J82))</f>
        <v/>
      </c>
      <c r="J82" s="52" t="str">
        <f t="shared" si="2"/>
        <v/>
      </c>
      <c r="L82" s="53">
        <f t="shared" si="3"/>
        <v>73</v>
      </c>
      <c r="M82" s="53">
        <f t="array" ref="M82">IF(AND(OR($B$3="All",INDEX(tx_Region,L82)=$B$3),OR($B$4="All",INDEX(tx_Category,L82)=$B$4),INDEX(tx_Total,L82)&gt;=$B$5),1,0)</f>
        <v>0</v>
      </c>
      <c r="N82" s="53">
        <f t="shared" si="4"/>
        <v>5</v>
      </c>
    </row>
    <row r="83" ht="15.75" customHeight="1">
      <c r="A83" s="47" t="str">
        <f t="shared" si="1"/>
        <v/>
      </c>
      <c r="B83" s="48" t="str">
        <f t="array" ref="B83">IF($J83="","",INDEX(tx_ID,$J83))</f>
        <v/>
      </c>
      <c r="C83" s="49" t="str">
        <f t="array" ref="C83">IF($J83="","",INDEX(tx_Date,$J83))</f>
        <v/>
      </c>
      <c r="D83" s="48" t="str">
        <f t="array" ref="D83">IF($J83="","",INDEX(tx_CustName,$J83))</f>
        <v/>
      </c>
      <c r="E83" s="48" t="str">
        <f t="array" ref="E83">IF($J83="","",INDEX(tx_Product,$J83))</f>
        <v/>
      </c>
      <c r="F83" s="48" t="str">
        <f t="array" ref="F83">IF($J83="","",INDEX(tx_Category,$J83))</f>
        <v/>
      </c>
      <c r="G83" s="48" t="str">
        <f t="array" ref="G83">IF($J83="","",INDEX(tx_Region,$J83))</f>
        <v/>
      </c>
      <c r="H83" s="50" t="str">
        <f t="array" ref="H83">IF($J83="","",INDEX(tx_Qty,$J83))</f>
        <v/>
      </c>
      <c r="I83" s="51" t="str">
        <f t="array" ref="I83">IF($J83="","",INDEX(tx_Total,$J83))</f>
        <v/>
      </c>
      <c r="J83" s="52" t="str">
        <f t="shared" si="2"/>
        <v/>
      </c>
      <c r="L83" s="53">
        <f t="shared" si="3"/>
        <v>74</v>
      </c>
      <c r="M83" s="53">
        <f t="array" ref="M83">IF(AND(OR($B$3="All",INDEX(tx_Region,L83)=$B$3),OR($B$4="All",INDEX(tx_Category,L83)=$B$4),INDEX(tx_Total,L83)&gt;=$B$5),1,0)</f>
        <v>0</v>
      </c>
      <c r="N83" s="53">
        <f t="shared" si="4"/>
        <v>5</v>
      </c>
    </row>
    <row r="84" ht="15.75" customHeight="1">
      <c r="A84" s="47" t="str">
        <f t="shared" si="1"/>
        <v/>
      </c>
      <c r="B84" s="48" t="str">
        <f t="array" ref="B84">IF($J84="","",INDEX(tx_ID,$J84))</f>
        <v/>
      </c>
      <c r="C84" s="49" t="str">
        <f t="array" ref="C84">IF($J84="","",INDEX(tx_Date,$J84))</f>
        <v/>
      </c>
      <c r="D84" s="48" t="str">
        <f t="array" ref="D84">IF($J84="","",INDEX(tx_CustName,$J84))</f>
        <v/>
      </c>
      <c r="E84" s="48" t="str">
        <f t="array" ref="E84">IF($J84="","",INDEX(tx_Product,$J84))</f>
        <v/>
      </c>
      <c r="F84" s="48" t="str">
        <f t="array" ref="F84">IF($J84="","",INDEX(tx_Category,$J84))</f>
        <v/>
      </c>
      <c r="G84" s="48" t="str">
        <f t="array" ref="G84">IF($J84="","",INDEX(tx_Region,$J84))</f>
        <v/>
      </c>
      <c r="H84" s="50" t="str">
        <f t="array" ref="H84">IF($J84="","",INDEX(tx_Qty,$J84))</f>
        <v/>
      </c>
      <c r="I84" s="51" t="str">
        <f t="array" ref="I84">IF($J84="","",INDEX(tx_Total,$J84))</f>
        <v/>
      </c>
      <c r="J84" s="52" t="str">
        <f t="shared" si="2"/>
        <v/>
      </c>
      <c r="L84" s="53">
        <f t="shared" si="3"/>
        <v>75</v>
      </c>
      <c r="M84" s="53">
        <f t="array" ref="M84">IF(AND(OR($B$3="All",INDEX(tx_Region,L84)=$B$3),OR($B$4="All",INDEX(tx_Category,L84)=$B$4),INDEX(tx_Total,L84)&gt;=$B$5),1,0)</f>
        <v>0</v>
      </c>
      <c r="N84" s="53">
        <f t="shared" si="4"/>
        <v>5</v>
      </c>
    </row>
    <row r="85" ht="15.75" customHeight="1">
      <c r="A85" s="47" t="str">
        <f t="shared" si="1"/>
        <v/>
      </c>
      <c r="B85" s="48" t="str">
        <f t="array" ref="B85">IF($J85="","",INDEX(tx_ID,$J85))</f>
        <v/>
      </c>
      <c r="C85" s="49" t="str">
        <f t="array" ref="C85">IF($J85="","",INDEX(tx_Date,$J85))</f>
        <v/>
      </c>
      <c r="D85" s="48" t="str">
        <f t="array" ref="D85">IF($J85="","",INDEX(tx_CustName,$J85))</f>
        <v/>
      </c>
      <c r="E85" s="48" t="str">
        <f t="array" ref="E85">IF($J85="","",INDEX(tx_Product,$J85))</f>
        <v/>
      </c>
      <c r="F85" s="48" t="str">
        <f t="array" ref="F85">IF($J85="","",INDEX(tx_Category,$J85))</f>
        <v/>
      </c>
      <c r="G85" s="48" t="str">
        <f t="array" ref="G85">IF($J85="","",INDEX(tx_Region,$J85))</f>
        <v/>
      </c>
      <c r="H85" s="50" t="str">
        <f t="array" ref="H85">IF($J85="","",INDEX(tx_Qty,$J85))</f>
        <v/>
      </c>
      <c r="I85" s="51" t="str">
        <f t="array" ref="I85">IF($J85="","",INDEX(tx_Total,$J85))</f>
        <v/>
      </c>
      <c r="J85" s="52" t="str">
        <f t="shared" si="2"/>
        <v/>
      </c>
      <c r="L85" s="53">
        <f t="shared" si="3"/>
        <v>76</v>
      </c>
      <c r="M85" s="53">
        <f t="array" ref="M85">IF(AND(OR($B$3="All",INDEX(tx_Region,L85)=$B$3),OR($B$4="All",INDEX(tx_Category,L85)=$B$4),INDEX(tx_Total,L85)&gt;=$B$5),1,0)</f>
        <v>0</v>
      </c>
      <c r="N85" s="53">
        <f t="shared" si="4"/>
        <v>5</v>
      </c>
    </row>
    <row r="86" ht="15.75" customHeight="1">
      <c r="A86" s="47" t="str">
        <f t="shared" si="1"/>
        <v/>
      </c>
      <c r="B86" s="48" t="str">
        <f t="array" ref="B86">IF($J86="","",INDEX(tx_ID,$J86))</f>
        <v/>
      </c>
      <c r="C86" s="49" t="str">
        <f t="array" ref="C86">IF($J86="","",INDEX(tx_Date,$J86))</f>
        <v/>
      </c>
      <c r="D86" s="48" t="str">
        <f t="array" ref="D86">IF($J86="","",INDEX(tx_CustName,$J86))</f>
        <v/>
      </c>
      <c r="E86" s="48" t="str">
        <f t="array" ref="E86">IF($J86="","",INDEX(tx_Product,$J86))</f>
        <v/>
      </c>
      <c r="F86" s="48" t="str">
        <f t="array" ref="F86">IF($J86="","",INDEX(tx_Category,$J86))</f>
        <v/>
      </c>
      <c r="G86" s="48" t="str">
        <f t="array" ref="G86">IF($J86="","",INDEX(tx_Region,$J86))</f>
        <v/>
      </c>
      <c r="H86" s="50" t="str">
        <f t="array" ref="H86">IF($J86="","",INDEX(tx_Qty,$J86))</f>
        <v/>
      </c>
      <c r="I86" s="51" t="str">
        <f t="array" ref="I86">IF($J86="","",INDEX(tx_Total,$J86))</f>
        <v/>
      </c>
      <c r="J86" s="52" t="str">
        <f t="shared" si="2"/>
        <v/>
      </c>
      <c r="L86" s="53">
        <f t="shared" si="3"/>
        <v>77</v>
      </c>
      <c r="M86" s="53">
        <f t="array" ref="M86">IF(AND(OR($B$3="All",INDEX(tx_Region,L86)=$B$3),OR($B$4="All",INDEX(tx_Category,L86)=$B$4),INDEX(tx_Total,L86)&gt;=$B$5),1,0)</f>
        <v>0</v>
      </c>
      <c r="N86" s="53">
        <f t="shared" si="4"/>
        <v>5</v>
      </c>
    </row>
    <row r="87" ht="15.75" customHeight="1">
      <c r="A87" s="47" t="str">
        <f t="shared" si="1"/>
        <v/>
      </c>
      <c r="B87" s="48" t="str">
        <f t="array" ref="B87">IF($J87="","",INDEX(tx_ID,$J87))</f>
        <v/>
      </c>
      <c r="C87" s="49" t="str">
        <f t="array" ref="C87">IF($J87="","",INDEX(tx_Date,$J87))</f>
        <v/>
      </c>
      <c r="D87" s="48" t="str">
        <f t="array" ref="D87">IF($J87="","",INDEX(tx_CustName,$J87))</f>
        <v/>
      </c>
      <c r="E87" s="48" t="str">
        <f t="array" ref="E87">IF($J87="","",INDEX(tx_Product,$J87))</f>
        <v/>
      </c>
      <c r="F87" s="48" t="str">
        <f t="array" ref="F87">IF($J87="","",INDEX(tx_Category,$J87))</f>
        <v/>
      </c>
      <c r="G87" s="48" t="str">
        <f t="array" ref="G87">IF($J87="","",INDEX(tx_Region,$J87))</f>
        <v/>
      </c>
      <c r="H87" s="50" t="str">
        <f t="array" ref="H87">IF($J87="","",INDEX(tx_Qty,$J87))</f>
        <v/>
      </c>
      <c r="I87" s="51" t="str">
        <f t="array" ref="I87">IF($J87="","",INDEX(tx_Total,$J87))</f>
        <v/>
      </c>
      <c r="J87" s="52" t="str">
        <f t="shared" si="2"/>
        <v/>
      </c>
      <c r="L87" s="53">
        <f t="shared" si="3"/>
        <v>78</v>
      </c>
      <c r="M87" s="53">
        <f t="array" ref="M87">IF(AND(OR($B$3="All",INDEX(tx_Region,L87)=$B$3),OR($B$4="All",INDEX(tx_Category,L87)=$B$4),INDEX(tx_Total,L87)&gt;=$B$5),1,0)</f>
        <v>0</v>
      </c>
      <c r="N87" s="53">
        <f t="shared" si="4"/>
        <v>5</v>
      </c>
    </row>
    <row r="88" ht="15.75" customHeight="1">
      <c r="A88" s="47" t="str">
        <f t="shared" si="1"/>
        <v/>
      </c>
      <c r="B88" s="48" t="str">
        <f t="array" ref="B88">IF($J88="","",INDEX(tx_ID,$J88))</f>
        <v/>
      </c>
      <c r="C88" s="49" t="str">
        <f t="array" ref="C88">IF($J88="","",INDEX(tx_Date,$J88))</f>
        <v/>
      </c>
      <c r="D88" s="48" t="str">
        <f t="array" ref="D88">IF($J88="","",INDEX(tx_CustName,$J88))</f>
        <v/>
      </c>
      <c r="E88" s="48" t="str">
        <f t="array" ref="E88">IF($J88="","",INDEX(tx_Product,$J88))</f>
        <v/>
      </c>
      <c r="F88" s="48" t="str">
        <f t="array" ref="F88">IF($J88="","",INDEX(tx_Category,$J88))</f>
        <v/>
      </c>
      <c r="G88" s="48" t="str">
        <f t="array" ref="G88">IF($J88="","",INDEX(tx_Region,$J88))</f>
        <v/>
      </c>
      <c r="H88" s="50" t="str">
        <f t="array" ref="H88">IF($J88="","",INDEX(tx_Qty,$J88))</f>
        <v/>
      </c>
      <c r="I88" s="51" t="str">
        <f t="array" ref="I88">IF($J88="","",INDEX(tx_Total,$J88))</f>
        <v/>
      </c>
      <c r="J88" s="52" t="str">
        <f t="shared" si="2"/>
        <v/>
      </c>
      <c r="L88" s="53">
        <f t="shared" si="3"/>
        <v>79</v>
      </c>
      <c r="M88" s="53">
        <f t="array" ref="M88">IF(AND(OR($B$3="All",INDEX(tx_Region,L88)=$B$3),OR($B$4="All",INDEX(tx_Category,L88)=$B$4),INDEX(tx_Total,L88)&gt;=$B$5),1,0)</f>
        <v>0</v>
      </c>
      <c r="N88" s="53">
        <f t="shared" si="4"/>
        <v>5</v>
      </c>
    </row>
    <row r="89" ht="15.75" customHeight="1">
      <c r="A89" s="47" t="str">
        <f t="shared" si="1"/>
        <v/>
      </c>
      <c r="B89" s="48" t="str">
        <f t="array" ref="B89">IF($J89="","",INDEX(tx_ID,$J89))</f>
        <v/>
      </c>
      <c r="C89" s="49" t="str">
        <f t="array" ref="C89">IF($J89="","",INDEX(tx_Date,$J89))</f>
        <v/>
      </c>
      <c r="D89" s="48" t="str">
        <f t="array" ref="D89">IF($J89="","",INDEX(tx_CustName,$J89))</f>
        <v/>
      </c>
      <c r="E89" s="48" t="str">
        <f t="array" ref="E89">IF($J89="","",INDEX(tx_Product,$J89))</f>
        <v/>
      </c>
      <c r="F89" s="48" t="str">
        <f t="array" ref="F89">IF($J89="","",INDEX(tx_Category,$J89))</f>
        <v/>
      </c>
      <c r="G89" s="48" t="str">
        <f t="array" ref="G89">IF($J89="","",INDEX(tx_Region,$J89))</f>
        <v/>
      </c>
      <c r="H89" s="50" t="str">
        <f t="array" ref="H89">IF($J89="","",INDEX(tx_Qty,$J89))</f>
        <v/>
      </c>
      <c r="I89" s="51" t="str">
        <f t="array" ref="I89">IF($J89="","",INDEX(tx_Total,$J89))</f>
        <v/>
      </c>
      <c r="J89" s="52" t="str">
        <f t="shared" si="2"/>
        <v/>
      </c>
      <c r="L89" s="53">
        <f t="shared" si="3"/>
        <v>80</v>
      </c>
      <c r="M89" s="53">
        <f t="array" ref="M89">IF(AND(OR($B$3="All",INDEX(tx_Region,L89)=$B$3),OR($B$4="All",INDEX(tx_Category,L89)=$B$4),INDEX(tx_Total,L89)&gt;=$B$5),1,0)</f>
        <v>0</v>
      </c>
      <c r="N89" s="53">
        <f t="shared" si="4"/>
        <v>5</v>
      </c>
    </row>
    <row r="90" ht="15.75" customHeight="1">
      <c r="A90" s="47" t="str">
        <f t="shared" si="1"/>
        <v/>
      </c>
      <c r="B90" s="48" t="str">
        <f t="array" ref="B90">IF($J90="","",INDEX(tx_ID,$J90))</f>
        <v/>
      </c>
      <c r="C90" s="49" t="str">
        <f t="array" ref="C90">IF($J90="","",INDEX(tx_Date,$J90))</f>
        <v/>
      </c>
      <c r="D90" s="48" t="str">
        <f t="array" ref="D90">IF($J90="","",INDEX(tx_CustName,$J90))</f>
        <v/>
      </c>
      <c r="E90" s="48" t="str">
        <f t="array" ref="E90">IF($J90="","",INDEX(tx_Product,$J90))</f>
        <v/>
      </c>
      <c r="F90" s="48" t="str">
        <f t="array" ref="F90">IF($J90="","",INDEX(tx_Category,$J90))</f>
        <v/>
      </c>
      <c r="G90" s="48" t="str">
        <f t="array" ref="G90">IF($J90="","",INDEX(tx_Region,$J90))</f>
        <v/>
      </c>
      <c r="H90" s="50" t="str">
        <f t="array" ref="H90">IF($J90="","",INDEX(tx_Qty,$J90))</f>
        <v/>
      </c>
      <c r="I90" s="51" t="str">
        <f t="array" ref="I90">IF($J90="","",INDEX(tx_Total,$J90))</f>
        <v/>
      </c>
      <c r="J90" s="52" t="str">
        <f t="shared" si="2"/>
        <v/>
      </c>
      <c r="L90" s="53">
        <f t="shared" si="3"/>
        <v>81</v>
      </c>
      <c r="M90" s="53">
        <f t="array" ref="M90">IF(AND(OR($B$3="All",INDEX(tx_Region,L90)=$B$3),OR($B$4="All",INDEX(tx_Category,L90)=$B$4),INDEX(tx_Total,L90)&gt;=$B$5),1,0)</f>
        <v>0</v>
      </c>
      <c r="N90" s="53">
        <f t="shared" si="4"/>
        <v>5</v>
      </c>
    </row>
    <row r="91" ht="15.75" customHeight="1">
      <c r="A91" s="47" t="str">
        <f t="shared" si="1"/>
        <v/>
      </c>
      <c r="B91" s="48" t="str">
        <f t="array" ref="B91">IF($J91="","",INDEX(tx_ID,$J91))</f>
        <v/>
      </c>
      <c r="C91" s="49" t="str">
        <f t="array" ref="C91">IF($J91="","",INDEX(tx_Date,$J91))</f>
        <v/>
      </c>
      <c r="D91" s="48" t="str">
        <f t="array" ref="D91">IF($J91="","",INDEX(tx_CustName,$J91))</f>
        <v/>
      </c>
      <c r="E91" s="48" t="str">
        <f t="array" ref="E91">IF($J91="","",INDEX(tx_Product,$J91))</f>
        <v/>
      </c>
      <c r="F91" s="48" t="str">
        <f t="array" ref="F91">IF($J91="","",INDEX(tx_Category,$J91))</f>
        <v/>
      </c>
      <c r="G91" s="48" t="str">
        <f t="array" ref="G91">IF($J91="","",INDEX(tx_Region,$J91))</f>
        <v/>
      </c>
      <c r="H91" s="50" t="str">
        <f t="array" ref="H91">IF($J91="","",INDEX(tx_Qty,$J91))</f>
        <v/>
      </c>
      <c r="I91" s="51" t="str">
        <f t="array" ref="I91">IF($J91="","",INDEX(tx_Total,$J91))</f>
        <v/>
      </c>
      <c r="J91" s="52" t="str">
        <f t="shared" si="2"/>
        <v/>
      </c>
      <c r="L91" s="53">
        <f t="shared" si="3"/>
        <v>82</v>
      </c>
      <c r="M91" s="53">
        <f t="array" ref="M91">IF(AND(OR($B$3="All",INDEX(tx_Region,L91)=$B$3),OR($B$4="All",INDEX(tx_Category,L91)=$B$4),INDEX(tx_Total,L91)&gt;=$B$5),1,0)</f>
        <v>0</v>
      </c>
      <c r="N91" s="53">
        <f t="shared" si="4"/>
        <v>5</v>
      </c>
    </row>
    <row r="92" ht="15.75" customHeight="1">
      <c r="A92" s="47" t="str">
        <f t="shared" si="1"/>
        <v/>
      </c>
      <c r="B92" s="48" t="str">
        <f t="array" ref="B92">IF($J92="","",INDEX(tx_ID,$J92))</f>
        <v/>
      </c>
      <c r="C92" s="49" t="str">
        <f t="array" ref="C92">IF($J92="","",INDEX(tx_Date,$J92))</f>
        <v/>
      </c>
      <c r="D92" s="48" t="str">
        <f t="array" ref="D92">IF($J92="","",INDEX(tx_CustName,$J92))</f>
        <v/>
      </c>
      <c r="E92" s="48" t="str">
        <f t="array" ref="E92">IF($J92="","",INDEX(tx_Product,$J92))</f>
        <v/>
      </c>
      <c r="F92" s="48" t="str">
        <f t="array" ref="F92">IF($J92="","",INDEX(tx_Category,$J92))</f>
        <v/>
      </c>
      <c r="G92" s="48" t="str">
        <f t="array" ref="G92">IF($J92="","",INDEX(tx_Region,$J92))</f>
        <v/>
      </c>
      <c r="H92" s="50" t="str">
        <f t="array" ref="H92">IF($J92="","",INDEX(tx_Qty,$J92))</f>
        <v/>
      </c>
      <c r="I92" s="51" t="str">
        <f t="array" ref="I92">IF($J92="","",INDEX(tx_Total,$J92))</f>
        <v/>
      </c>
      <c r="J92" s="52" t="str">
        <f t="shared" si="2"/>
        <v/>
      </c>
      <c r="L92" s="53">
        <f t="shared" si="3"/>
        <v>83</v>
      </c>
      <c r="M92" s="53">
        <f t="array" ref="M92">IF(AND(OR($B$3="All",INDEX(tx_Region,L92)=$B$3),OR($B$4="All",INDEX(tx_Category,L92)=$B$4),INDEX(tx_Total,L92)&gt;=$B$5),1,0)</f>
        <v>0</v>
      </c>
      <c r="N92" s="53">
        <f t="shared" si="4"/>
        <v>5</v>
      </c>
    </row>
    <row r="93" ht="15.75" customHeight="1">
      <c r="A93" s="47" t="str">
        <f t="shared" si="1"/>
        <v/>
      </c>
      <c r="B93" s="48" t="str">
        <f t="array" ref="B93">IF($J93="","",INDEX(tx_ID,$J93))</f>
        <v/>
      </c>
      <c r="C93" s="49" t="str">
        <f t="array" ref="C93">IF($J93="","",INDEX(tx_Date,$J93))</f>
        <v/>
      </c>
      <c r="D93" s="48" t="str">
        <f t="array" ref="D93">IF($J93="","",INDEX(tx_CustName,$J93))</f>
        <v/>
      </c>
      <c r="E93" s="48" t="str">
        <f t="array" ref="E93">IF($J93="","",INDEX(tx_Product,$J93))</f>
        <v/>
      </c>
      <c r="F93" s="48" t="str">
        <f t="array" ref="F93">IF($J93="","",INDEX(tx_Category,$J93))</f>
        <v/>
      </c>
      <c r="G93" s="48" t="str">
        <f t="array" ref="G93">IF($J93="","",INDEX(tx_Region,$J93))</f>
        <v/>
      </c>
      <c r="H93" s="50" t="str">
        <f t="array" ref="H93">IF($J93="","",INDEX(tx_Qty,$J93))</f>
        <v/>
      </c>
      <c r="I93" s="51" t="str">
        <f t="array" ref="I93">IF($J93="","",INDEX(tx_Total,$J93))</f>
        <v/>
      </c>
      <c r="J93" s="52" t="str">
        <f t="shared" si="2"/>
        <v/>
      </c>
      <c r="L93" s="53">
        <f t="shared" si="3"/>
        <v>84</v>
      </c>
      <c r="M93" s="53">
        <f t="array" ref="M93">IF(AND(OR($B$3="All",INDEX(tx_Region,L93)=$B$3),OR($B$4="All",INDEX(tx_Category,L93)=$B$4),INDEX(tx_Total,L93)&gt;=$B$5),1,0)</f>
        <v>0</v>
      </c>
      <c r="N93" s="53">
        <f t="shared" si="4"/>
        <v>5</v>
      </c>
    </row>
    <row r="94" ht="15.75" customHeight="1">
      <c r="A94" s="47" t="str">
        <f t="shared" si="1"/>
        <v/>
      </c>
      <c r="B94" s="48" t="str">
        <f t="array" ref="B94">IF($J94="","",INDEX(tx_ID,$J94))</f>
        <v/>
      </c>
      <c r="C94" s="49" t="str">
        <f t="array" ref="C94">IF($J94="","",INDEX(tx_Date,$J94))</f>
        <v/>
      </c>
      <c r="D94" s="48" t="str">
        <f t="array" ref="D94">IF($J94="","",INDEX(tx_CustName,$J94))</f>
        <v/>
      </c>
      <c r="E94" s="48" t="str">
        <f t="array" ref="E94">IF($J94="","",INDEX(tx_Product,$J94))</f>
        <v/>
      </c>
      <c r="F94" s="48" t="str">
        <f t="array" ref="F94">IF($J94="","",INDEX(tx_Category,$J94))</f>
        <v/>
      </c>
      <c r="G94" s="48" t="str">
        <f t="array" ref="G94">IF($J94="","",INDEX(tx_Region,$J94))</f>
        <v/>
      </c>
      <c r="H94" s="50" t="str">
        <f t="array" ref="H94">IF($J94="","",INDEX(tx_Qty,$J94))</f>
        <v/>
      </c>
      <c r="I94" s="51" t="str">
        <f t="array" ref="I94">IF($J94="","",INDEX(tx_Total,$J94))</f>
        <v/>
      </c>
      <c r="J94" s="52" t="str">
        <f t="shared" si="2"/>
        <v/>
      </c>
      <c r="L94" s="53">
        <f t="shared" si="3"/>
        <v>85</v>
      </c>
      <c r="M94" s="53">
        <f t="array" ref="M94">IF(AND(OR($B$3="All",INDEX(tx_Region,L94)=$B$3),OR($B$4="All",INDEX(tx_Category,L94)=$B$4),INDEX(tx_Total,L94)&gt;=$B$5),1,0)</f>
        <v>0</v>
      </c>
      <c r="N94" s="53">
        <f t="shared" si="4"/>
        <v>5</v>
      </c>
    </row>
    <row r="95" ht="15.75" customHeight="1">
      <c r="A95" s="47" t="str">
        <f t="shared" si="1"/>
        <v/>
      </c>
      <c r="B95" s="48" t="str">
        <f t="array" ref="B95">IF($J95="","",INDEX(tx_ID,$J95))</f>
        <v/>
      </c>
      <c r="C95" s="49" t="str">
        <f t="array" ref="C95">IF($J95="","",INDEX(tx_Date,$J95))</f>
        <v/>
      </c>
      <c r="D95" s="48" t="str">
        <f t="array" ref="D95">IF($J95="","",INDEX(tx_CustName,$J95))</f>
        <v/>
      </c>
      <c r="E95" s="48" t="str">
        <f t="array" ref="E95">IF($J95="","",INDEX(tx_Product,$J95))</f>
        <v/>
      </c>
      <c r="F95" s="48" t="str">
        <f t="array" ref="F95">IF($J95="","",INDEX(tx_Category,$J95))</f>
        <v/>
      </c>
      <c r="G95" s="48" t="str">
        <f t="array" ref="G95">IF($J95="","",INDEX(tx_Region,$J95))</f>
        <v/>
      </c>
      <c r="H95" s="50" t="str">
        <f t="array" ref="H95">IF($J95="","",INDEX(tx_Qty,$J95))</f>
        <v/>
      </c>
      <c r="I95" s="51" t="str">
        <f t="array" ref="I95">IF($J95="","",INDEX(tx_Total,$J95))</f>
        <v/>
      </c>
      <c r="J95" s="52" t="str">
        <f t="shared" si="2"/>
        <v/>
      </c>
      <c r="L95" s="53">
        <f t="shared" si="3"/>
        <v>86</v>
      </c>
      <c r="M95" s="53">
        <f t="array" ref="M95">IF(AND(OR($B$3="All",INDEX(tx_Region,L95)=$B$3),OR($B$4="All",INDEX(tx_Category,L95)=$B$4),INDEX(tx_Total,L95)&gt;=$B$5),1,0)</f>
        <v>0</v>
      </c>
      <c r="N95" s="53">
        <f t="shared" si="4"/>
        <v>5</v>
      </c>
    </row>
    <row r="96" ht="15.75" customHeight="1">
      <c r="A96" s="47" t="str">
        <f t="shared" si="1"/>
        <v/>
      </c>
      <c r="B96" s="48" t="str">
        <f t="array" ref="B96">IF($J96="","",INDEX(tx_ID,$J96))</f>
        <v/>
      </c>
      <c r="C96" s="49" t="str">
        <f t="array" ref="C96">IF($J96="","",INDEX(tx_Date,$J96))</f>
        <v/>
      </c>
      <c r="D96" s="48" t="str">
        <f t="array" ref="D96">IF($J96="","",INDEX(tx_CustName,$J96))</f>
        <v/>
      </c>
      <c r="E96" s="48" t="str">
        <f t="array" ref="E96">IF($J96="","",INDEX(tx_Product,$J96))</f>
        <v/>
      </c>
      <c r="F96" s="48" t="str">
        <f t="array" ref="F96">IF($J96="","",INDEX(tx_Category,$J96))</f>
        <v/>
      </c>
      <c r="G96" s="48" t="str">
        <f t="array" ref="G96">IF($J96="","",INDEX(tx_Region,$J96))</f>
        <v/>
      </c>
      <c r="H96" s="50" t="str">
        <f t="array" ref="H96">IF($J96="","",INDEX(tx_Qty,$J96))</f>
        <v/>
      </c>
      <c r="I96" s="51" t="str">
        <f t="array" ref="I96">IF($J96="","",INDEX(tx_Total,$J96))</f>
        <v/>
      </c>
      <c r="J96" s="52" t="str">
        <f t="shared" si="2"/>
        <v/>
      </c>
      <c r="L96" s="53">
        <f t="shared" si="3"/>
        <v>87</v>
      </c>
      <c r="M96" s="53">
        <f t="array" ref="M96">IF(AND(OR($B$3="All",INDEX(tx_Region,L96)=$B$3),OR($B$4="All",INDEX(tx_Category,L96)=$B$4),INDEX(tx_Total,L96)&gt;=$B$5),1,0)</f>
        <v>0</v>
      </c>
      <c r="N96" s="53">
        <f t="shared" si="4"/>
        <v>5</v>
      </c>
    </row>
    <row r="97" ht="15.75" customHeight="1">
      <c r="A97" s="47" t="str">
        <f t="shared" si="1"/>
        <v/>
      </c>
      <c r="B97" s="48" t="str">
        <f t="array" ref="B97">IF($J97="","",INDEX(tx_ID,$J97))</f>
        <v/>
      </c>
      <c r="C97" s="49" t="str">
        <f t="array" ref="C97">IF($J97="","",INDEX(tx_Date,$J97))</f>
        <v/>
      </c>
      <c r="D97" s="48" t="str">
        <f t="array" ref="D97">IF($J97="","",INDEX(tx_CustName,$J97))</f>
        <v/>
      </c>
      <c r="E97" s="48" t="str">
        <f t="array" ref="E97">IF($J97="","",INDEX(tx_Product,$J97))</f>
        <v/>
      </c>
      <c r="F97" s="48" t="str">
        <f t="array" ref="F97">IF($J97="","",INDEX(tx_Category,$J97))</f>
        <v/>
      </c>
      <c r="G97" s="48" t="str">
        <f t="array" ref="G97">IF($J97="","",INDEX(tx_Region,$J97))</f>
        <v/>
      </c>
      <c r="H97" s="50" t="str">
        <f t="array" ref="H97">IF($J97="","",INDEX(tx_Qty,$J97))</f>
        <v/>
      </c>
      <c r="I97" s="51" t="str">
        <f t="array" ref="I97">IF($J97="","",INDEX(tx_Total,$J97))</f>
        <v/>
      </c>
      <c r="J97" s="52" t="str">
        <f t="shared" si="2"/>
        <v/>
      </c>
      <c r="L97" s="53">
        <f t="shared" si="3"/>
        <v>88</v>
      </c>
      <c r="M97" s="53">
        <f t="array" ref="M97">IF(AND(OR($B$3="All",INDEX(tx_Region,L97)=$B$3),OR($B$4="All",INDEX(tx_Category,L97)=$B$4),INDEX(tx_Total,L97)&gt;=$B$5),1,0)</f>
        <v>0</v>
      </c>
      <c r="N97" s="53">
        <f t="shared" si="4"/>
        <v>5</v>
      </c>
    </row>
    <row r="98" ht="15.75" customHeight="1">
      <c r="A98" s="47" t="str">
        <f t="shared" si="1"/>
        <v/>
      </c>
      <c r="B98" s="48" t="str">
        <f t="array" ref="B98">IF($J98="","",INDEX(tx_ID,$J98))</f>
        <v/>
      </c>
      <c r="C98" s="49" t="str">
        <f t="array" ref="C98">IF($J98="","",INDEX(tx_Date,$J98))</f>
        <v/>
      </c>
      <c r="D98" s="48" t="str">
        <f t="array" ref="D98">IF($J98="","",INDEX(tx_CustName,$J98))</f>
        <v/>
      </c>
      <c r="E98" s="48" t="str">
        <f t="array" ref="E98">IF($J98="","",INDEX(tx_Product,$J98))</f>
        <v/>
      </c>
      <c r="F98" s="48" t="str">
        <f t="array" ref="F98">IF($J98="","",INDEX(tx_Category,$J98))</f>
        <v/>
      </c>
      <c r="G98" s="48" t="str">
        <f t="array" ref="G98">IF($J98="","",INDEX(tx_Region,$J98))</f>
        <v/>
      </c>
      <c r="H98" s="50" t="str">
        <f t="array" ref="H98">IF($J98="","",INDEX(tx_Qty,$J98))</f>
        <v/>
      </c>
      <c r="I98" s="51" t="str">
        <f t="array" ref="I98">IF($J98="","",INDEX(tx_Total,$J98))</f>
        <v/>
      </c>
      <c r="J98" s="52" t="str">
        <f t="shared" si="2"/>
        <v/>
      </c>
      <c r="L98" s="53">
        <f t="shared" si="3"/>
        <v>89</v>
      </c>
      <c r="M98" s="53">
        <f t="array" ref="M98">IF(AND(OR($B$3="All",INDEX(tx_Region,L98)=$B$3),OR($B$4="All",INDEX(tx_Category,L98)=$B$4),INDEX(tx_Total,L98)&gt;=$B$5),1,0)</f>
        <v>0</v>
      </c>
      <c r="N98" s="53">
        <f t="shared" si="4"/>
        <v>5</v>
      </c>
    </row>
    <row r="99" ht="15.75" customHeight="1">
      <c r="A99" s="47" t="str">
        <f t="shared" si="1"/>
        <v/>
      </c>
      <c r="B99" s="48" t="str">
        <f t="array" ref="B99">IF($J99="","",INDEX(tx_ID,$J99))</f>
        <v/>
      </c>
      <c r="C99" s="49" t="str">
        <f t="array" ref="C99">IF($J99="","",INDEX(tx_Date,$J99))</f>
        <v/>
      </c>
      <c r="D99" s="48" t="str">
        <f t="array" ref="D99">IF($J99="","",INDEX(tx_CustName,$J99))</f>
        <v/>
      </c>
      <c r="E99" s="48" t="str">
        <f t="array" ref="E99">IF($J99="","",INDEX(tx_Product,$J99))</f>
        <v/>
      </c>
      <c r="F99" s="48" t="str">
        <f t="array" ref="F99">IF($J99="","",INDEX(tx_Category,$J99))</f>
        <v/>
      </c>
      <c r="G99" s="48" t="str">
        <f t="array" ref="G99">IF($J99="","",INDEX(tx_Region,$J99))</f>
        <v/>
      </c>
      <c r="H99" s="50" t="str">
        <f t="array" ref="H99">IF($J99="","",INDEX(tx_Qty,$J99))</f>
        <v/>
      </c>
      <c r="I99" s="51" t="str">
        <f t="array" ref="I99">IF($J99="","",INDEX(tx_Total,$J99))</f>
        <v/>
      </c>
      <c r="J99" s="52" t="str">
        <f t="shared" si="2"/>
        <v/>
      </c>
      <c r="L99" s="53">
        <f t="shared" si="3"/>
        <v>90</v>
      </c>
      <c r="M99" s="53">
        <f t="array" ref="M99">IF(AND(OR($B$3="All",INDEX(tx_Region,L99)=$B$3),OR($B$4="All",INDEX(tx_Category,L99)=$B$4),INDEX(tx_Total,L99)&gt;=$B$5),1,0)</f>
        <v>0</v>
      </c>
      <c r="N99" s="53">
        <f t="shared" si="4"/>
        <v>5</v>
      </c>
    </row>
    <row r="100" ht="15.75" customHeight="1">
      <c r="A100" s="47" t="str">
        <f t="shared" si="1"/>
        <v/>
      </c>
      <c r="B100" s="48" t="str">
        <f t="array" ref="B100">IF($J100="","",INDEX(tx_ID,$J100))</f>
        <v/>
      </c>
      <c r="C100" s="49" t="str">
        <f t="array" ref="C100">IF($J100="","",INDEX(tx_Date,$J100))</f>
        <v/>
      </c>
      <c r="D100" s="48" t="str">
        <f t="array" ref="D100">IF($J100="","",INDEX(tx_CustName,$J100))</f>
        <v/>
      </c>
      <c r="E100" s="48" t="str">
        <f t="array" ref="E100">IF($J100="","",INDEX(tx_Product,$J100))</f>
        <v/>
      </c>
      <c r="F100" s="48" t="str">
        <f t="array" ref="F100">IF($J100="","",INDEX(tx_Category,$J100))</f>
        <v/>
      </c>
      <c r="G100" s="48" t="str">
        <f t="array" ref="G100">IF($J100="","",INDEX(tx_Region,$J100))</f>
        <v/>
      </c>
      <c r="H100" s="50" t="str">
        <f t="array" ref="H100">IF($J100="","",INDEX(tx_Qty,$J100))</f>
        <v/>
      </c>
      <c r="I100" s="51" t="str">
        <f t="array" ref="I100">IF($J100="","",INDEX(tx_Total,$J100))</f>
        <v/>
      </c>
      <c r="J100" s="52" t="str">
        <f t="shared" si="2"/>
        <v/>
      </c>
      <c r="L100" s="53">
        <f t="shared" si="3"/>
        <v>91</v>
      </c>
      <c r="M100" s="53">
        <f t="array" ref="M100">IF(AND(OR($B$3="All",INDEX(tx_Region,L100)=$B$3),OR($B$4="All",INDEX(tx_Category,L100)=$B$4),INDEX(tx_Total,L100)&gt;=$B$5),1,0)</f>
        <v>0</v>
      </c>
      <c r="N100" s="53">
        <f t="shared" si="4"/>
        <v>5</v>
      </c>
    </row>
    <row r="101" ht="15.75" customHeight="1">
      <c r="A101" s="47" t="str">
        <f t="shared" si="1"/>
        <v/>
      </c>
      <c r="B101" s="48" t="str">
        <f t="array" ref="B101">IF($J101="","",INDEX(tx_ID,$J101))</f>
        <v/>
      </c>
      <c r="C101" s="49" t="str">
        <f t="array" ref="C101">IF($J101="","",INDEX(tx_Date,$J101))</f>
        <v/>
      </c>
      <c r="D101" s="48" t="str">
        <f t="array" ref="D101">IF($J101="","",INDEX(tx_CustName,$J101))</f>
        <v/>
      </c>
      <c r="E101" s="48" t="str">
        <f t="array" ref="E101">IF($J101="","",INDEX(tx_Product,$J101))</f>
        <v/>
      </c>
      <c r="F101" s="48" t="str">
        <f t="array" ref="F101">IF($J101="","",INDEX(tx_Category,$J101))</f>
        <v/>
      </c>
      <c r="G101" s="48" t="str">
        <f t="array" ref="G101">IF($J101="","",INDEX(tx_Region,$J101))</f>
        <v/>
      </c>
      <c r="H101" s="50" t="str">
        <f t="array" ref="H101">IF($J101="","",INDEX(tx_Qty,$J101))</f>
        <v/>
      </c>
      <c r="I101" s="51" t="str">
        <f t="array" ref="I101">IF($J101="","",INDEX(tx_Total,$J101))</f>
        <v/>
      </c>
      <c r="J101" s="52" t="str">
        <f t="shared" si="2"/>
        <v/>
      </c>
      <c r="L101" s="53">
        <f t="shared" si="3"/>
        <v>92</v>
      </c>
      <c r="M101" s="53">
        <f t="array" ref="M101">IF(AND(OR($B$3="All",INDEX(tx_Region,L101)=$B$3),OR($B$4="All",INDEX(tx_Category,L101)=$B$4),INDEX(tx_Total,L101)&gt;=$B$5),1,0)</f>
        <v>0</v>
      </c>
      <c r="N101" s="53">
        <f t="shared" si="4"/>
        <v>5</v>
      </c>
    </row>
    <row r="102" ht="15.75" customHeight="1">
      <c r="A102" s="47" t="str">
        <f t="shared" si="1"/>
        <v/>
      </c>
      <c r="B102" s="48" t="str">
        <f t="array" ref="B102">IF($J102="","",INDEX(tx_ID,$J102))</f>
        <v/>
      </c>
      <c r="C102" s="49" t="str">
        <f t="array" ref="C102">IF($J102="","",INDEX(tx_Date,$J102))</f>
        <v/>
      </c>
      <c r="D102" s="48" t="str">
        <f t="array" ref="D102">IF($J102="","",INDEX(tx_CustName,$J102))</f>
        <v/>
      </c>
      <c r="E102" s="48" t="str">
        <f t="array" ref="E102">IF($J102="","",INDEX(tx_Product,$J102))</f>
        <v/>
      </c>
      <c r="F102" s="48" t="str">
        <f t="array" ref="F102">IF($J102="","",INDEX(tx_Category,$J102))</f>
        <v/>
      </c>
      <c r="G102" s="48" t="str">
        <f t="array" ref="G102">IF($J102="","",INDEX(tx_Region,$J102))</f>
        <v/>
      </c>
      <c r="H102" s="50" t="str">
        <f t="array" ref="H102">IF($J102="","",INDEX(tx_Qty,$J102))</f>
        <v/>
      </c>
      <c r="I102" s="51" t="str">
        <f t="array" ref="I102">IF($J102="","",INDEX(tx_Total,$J102))</f>
        <v/>
      </c>
      <c r="J102" s="52" t="str">
        <f t="shared" si="2"/>
        <v/>
      </c>
      <c r="L102" s="53">
        <f t="shared" si="3"/>
        <v>93</v>
      </c>
      <c r="M102" s="53">
        <f t="array" ref="M102">IF(AND(OR($B$3="All",INDEX(tx_Region,L102)=$B$3),OR($B$4="All",INDEX(tx_Category,L102)=$B$4),INDEX(tx_Total,L102)&gt;=$B$5),1,0)</f>
        <v>0</v>
      </c>
      <c r="N102" s="53">
        <f t="shared" si="4"/>
        <v>5</v>
      </c>
    </row>
    <row r="103" ht="15.75" customHeight="1">
      <c r="A103" s="47" t="str">
        <f t="shared" si="1"/>
        <v/>
      </c>
      <c r="B103" s="48" t="str">
        <f t="array" ref="B103">IF($J103="","",INDEX(tx_ID,$J103))</f>
        <v/>
      </c>
      <c r="C103" s="49" t="str">
        <f t="array" ref="C103">IF($J103="","",INDEX(tx_Date,$J103))</f>
        <v/>
      </c>
      <c r="D103" s="48" t="str">
        <f t="array" ref="D103">IF($J103="","",INDEX(tx_CustName,$J103))</f>
        <v/>
      </c>
      <c r="E103" s="48" t="str">
        <f t="array" ref="E103">IF($J103="","",INDEX(tx_Product,$J103))</f>
        <v/>
      </c>
      <c r="F103" s="48" t="str">
        <f t="array" ref="F103">IF($J103="","",INDEX(tx_Category,$J103))</f>
        <v/>
      </c>
      <c r="G103" s="48" t="str">
        <f t="array" ref="G103">IF($J103="","",INDEX(tx_Region,$J103))</f>
        <v/>
      </c>
      <c r="H103" s="50" t="str">
        <f t="array" ref="H103">IF($J103="","",INDEX(tx_Qty,$J103))</f>
        <v/>
      </c>
      <c r="I103" s="51" t="str">
        <f t="array" ref="I103">IF($J103="","",INDEX(tx_Total,$J103))</f>
        <v/>
      </c>
      <c r="J103" s="52" t="str">
        <f t="shared" si="2"/>
        <v/>
      </c>
      <c r="L103" s="53">
        <f t="shared" si="3"/>
        <v>94</v>
      </c>
      <c r="M103" s="53">
        <f t="array" ref="M103">IF(AND(OR($B$3="All",INDEX(tx_Region,L103)=$B$3),OR($B$4="All",INDEX(tx_Category,L103)=$B$4),INDEX(tx_Total,L103)&gt;=$B$5),1,0)</f>
        <v>1</v>
      </c>
      <c r="N103" s="53">
        <f t="shared" si="4"/>
        <v>6</v>
      </c>
    </row>
    <row r="104" ht="15.75" customHeight="1">
      <c r="A104" s="47" t="str">
        <f t="shared" si="1"/>
        <v/>
      </c>
      <c r="B104" s="48" t="str">
        <f t="array" ref="B104">IF($J104="","",INDEX(tx_ID,$J104))</f>
        <v/>
      </c>
      <c r="C104" s="49" t="str">
        <f t="array" ref="C104">IF($J104="","",INDEX(tx_Date,$J104))</f>
        <v/>
      </c>
      <c r="D104" s="48" t="str">
        <f t="array" ref="D104">IF($J104="","",INDEX(tx_CustName,$J104))</f>
        <v/>
      </c>
      <c r="E104" s="48" t="str">
        <f t="array" ref="E104">IF($J104="","",INDEX(tx_Product,$J104))</f>
        <v/>
      </c>
      <c r="F104" s="48" t="str">
        <f t="array" ref="F104">IF($J104="","",INDEX(tx_Category,$J104))</f>
        <v/>
      </c>
      <c r="G104" s="48" t="str">
        <f t="array" ref="G104">IF($J104="","",INDEX(tx_Region,$J104))</f>
        <v/>
      </c>
      <c r="H104" s="50" t="str">
        <f t="array" ref="H104">IF($J104="","",INDEX(tx_Qty,$J104))</f>
        <v/>
      </c>
      <c r="I104" s="51" t="str">
        <f t="array" ref="I104">IF($J104="","",INDEX(tx_Total,$J104))</f>
        <v/>
      </c>
      <c r="J104" s="52" t="str">
        <f t="shared" si="2"/>
        <v/>
      </c>
      <c r="L104" s="53">
        <f t="shared" si="3"/>
        <v>95</v>
      </c>
      <c r="M104" s="53">
        <f t="array" ref="M104">IF(AND(OR($B$3="All",INDEX(tx_Region,L104)=$B$3),OR($B$4="All",INDEX(tx_Category,L104)=$B$4),INDEX(tx_Total,L104)&gt;=$B$5),1,0)</f>
        <v>0</v>
      </c>
      <c r="N104" s="53">
        <f t="shared" si="4"/>
        <v>6</v>
      </c>
    </row>
    <row r="105" ht="15.75" customHeight="1">
      <c r="A105" s="47" t="str">
        <f t="shared" si="1"/>
        <v/>
      </c>
      <c r="B105" s="48" t="str">
        <f t="array" ref="B105">IF($J105="","",INDEX(tx_ID,$J105))</f>
        <v/>
      </c>
      <c r="C105" s="49" t="str">
        <f t="array" ref="C105">IF($J105="","",INDEX(tx_Date,$J105))</f>
        <v/>
      </c>
      <c r="D105" s="48" t="str">
        <f t="array" ref="D105">IF($J105="","",INDEX(tx_CustName,$J105))</f>
        <v/>
      </c>
      <c r="E105" s="48" t="str">
        <f t="array" ref="E105">IF($J105="","",INDEX(tx_Product,$J105))</f>
        <v/>
      </c>
      <c r="F105" s="48" t="str">
        <f t="array" ref="F105">IF($J105="","",INDEX(tx_Category,$J105))</f>
        <v/>
      </c>
      <c r="G105" s="48" t="str">
        <f t="array" ref="G105">IF($J105="","",INDEX(tx_Region,$J105))</f>
        <v/>
      </c>
      <c r="H105" s="50" t="str">
        <f t="array" ref="H105">IF($J105="","",INDEX(tx_Qty,$J105))</f>
        <v/>
      </c>
      <c r="I105" s="51" t="str">
        <f t="array" ref="I105">IF($J105="","",INDEX(tx_Total,$J105))</f>
        <v/>
      </c>
      <c r="J105" s="52" t="str">
        <f t="shared" si="2"/>
        <v/>
      </c>
      <c r="L105" s="53">
        <f t="shared" si="3"/>
        <v>96</v>
      </c>
      <c r="M105" s="53">
        <f t="array" ref="M105">IF(AND(OR($B$3="All",INDEX(tx_Region,L105)=$B$3),OR($B$4="All",INDEX(tx_Category,L105)=$B$4),INDEX(tx_Total,L105)&gt;=$B$5),1,0)</f>
        <v>0</v>
      </c>
      <c r="N105" s="53">
        <f t="shared" si="4"/>
        <v>6</v>
      </c>
    </row>
    <row r="106" ht="15.75" customHeight="1">
      <c r="A106" s="47" t="str">
        <f t="shared" si="1"/>
        <v/>
      </c>
      <c r="B106" s="48" t="str">
        <f t="array" ref="B106">IF($J106="","",INDEX(tx_ID,$J106))</f>
        <v/>
      </c>
      <c r="C106" s="49" t="str">
        <f t="array" ref="C106">IF($J106="","",INDEX(tx_Date,$J106))</f>
        <v/>
      </c>
      <c r="D106" s="48" t="str">
        <f t="array" ref="D106">IF($J106="","",INDEX(tx_CustName,$J106))</f>
        <v/>
      </c>
      <c r="E106" s="48" t="str">
        <f t="array" ref="E106">IF($J106="","",INDEX(tx_Product,$J106))</f>
        <v/>
      </c>
      <c r="F106" s="48" t="str">
        <f t="array" ref="F106">IF($J106="","",INDEX(tx_Category,$J106))</f>
        <v/>
      </c>
      <c r="G106" s="48" t="str">
        <f t="array" ref="G106">IF($J106="","",INDEX(tx_Region,$J106))</f>
        <v/>
      </c>
      <c r="H106" s="50" t="str">
        <f t="array" ref="H106">IF($J106="","",INDEX(tx_Qty,$J106))</f>
        <v/>
      </c>
      <c r="I106" s="51" t="str">
        <f t="array" ref="I106">IF($J106="","",INDEX(tx_Total,$J106))</f>
        <v/>
      </c>
      <c r="J106" s="52" t="str">
        <f t="shared" si="2"/>
        <v/>
      </c>
      <c r="L106" s="53">
        <f t="shared" si="3"/>
        <v>97</v>
      </c>
      <c r="M106" s="53">
        <f t="array" ref="M106">IF(AND(OR($B$3="All",INDEX(tx_Region,L106)=$B$3),OR($B$4="All",INDEX(tx_Category,L106)=$B$4),INDEX(tx_Total,L106)&gt;=$B$5),1,0)</f>
        <v>0</v>
      </c>
      <c r="N106" s="53">
        <f t="shared" si="4"/>
        <v>6</v>
      </c>
    </row>
    <row r="107" ht="15.75" customHeight="1">
      <c r="A107" s="47" t="str">
        <f t="shared" si="1"/>
        <v/>
      </c>
      <c r="B107" s="48" t="str">
        <f t="array" ref="B107">IF($J107="","",INDEX(tx_ID,$J107))</f>
        <v/>
      </c>
      <c r="C107" s="49" t="str">
        <f t="array" ref="C107">IF($J107="","",INDEX(tx_Date,$J107))</f>
        <v/>
      </c>
      <c r="D107" s="48" t="str">
        <f t="array" ref="D107">IF($J107="","",INDEX(tx_CustName,$J107))</f>
        <v/>
      </c>
      <c r="E107" s="48" t="str">
        <f t="array" ref="E107">IF($J107="","",INDEX(tx_Product,$J107))</f>
        <v/>
      </c>
      <c r="F107" s="48" t="str">
        <f t="array" ref="F107">IF($J107="","",INDEX(tx_Category,$J107))</f>
        <v/>
      </c>
      <c r="G107" s="48" t="str">
        <f t="array" ref="G107">IF($J107="","",INDEX(tx_Region,$J107))</f>
        <v/>
      </c>
      <c r="H107" s="50" t="str">
        <f t="array" ref="H107">IF($J107="","",INDEX(tx_Qty,$J107))</f>
        <v/>
      </c>
      <c r="I107" s="51" t="str">
        <f t="array" ref="I107">IF($J107="","",INDEX(tx_Total,$J107))</f>
        <v/>
      </c>
      <c r="J107" s="52" t="str">
        <f t="shared" si="2"/>
        <v/>
      </c>
      <c r="L107" s="53">
        <f t="shared" si="3"/>
        <v>98</v>
      </c>
      <c r="M107" s="53">
        <f t="array" ref="M107">IF(AND(OR($B$3="All",INDEX(tx_Region,L107)=$B$3),OR($B$4="All",INDEX(tx_Category,L107)=$B$4),INDEX(tx_Total,L107)&gt;=$B$5),1,0)</f>
        <v>0</v>
      </c>
      <c r="N107" s="53">
        <f t="shared" si="4"/>
        <v>6</v>
      </c>
    </row>
    <row r="108" ht="15.75" customHeight="1">
      <c r="A108" s="47" t="str">
        <f t="shared" si="1"/>
        <v/>
      </c>
      <c r="B108" s="48" t="str">
        <f t="array" ref="B108">IF($J108="","",INDEX(tx_ID,$J108))</f>
        <v/>
      </c>
      <c r="C108" s="49" t="str">
        <f t="array" ref="C108">IF($J108="","",INDEX(tx_Date,$J108))</f>
        <v/>
      </c>
      <c r="D108" s="48" t="str">
        <f t="array" ref="D108">IF($J108="","",INDEX(tx_CustName,$J108))</f>
        <v/>
      </c>
      <c r="E108" s="48" t="str">
        <f t="array" ref="E108">IF($J108="","",INDEX(tx_Product,$J108))</f>
        <v/>
      </c>
      <c r="F108" s="48" t="str">
        <f t="array" ref="F108">IF($J108="","",INDEX(tx_Category,$J108))</f>
        <v/>
      </c>
      <c r="G108" s="48" t="str">
        <f t="array" ref="G108">IF($J108="","",INDEX(tx_Region,$J108))</f>
        <v/>
      </c>
      <c r="H108" s="50" t="str">
        <f t="array" ref="H108">IF($J108="","",INDEX(tx_Qty,$J108))</f>
        <v/>
      </c>
      <c r="I108" s="51" t="str">
        <f t="array" ref="I108">IF($J108="","",INDEX(tx_Total,$J108))</f>
        <v/>
      </c>
      <c r="J108" s="52" t="str">
        <f t="shared" si="2"/>
        <v/>
      </c>
      <c r="L108" s="53">
        <f t="shared" si="3"/>
        <v>99</v>
      </c>
      <c r="M108" s="53">
        <f t="array" ref="M108">IF(AND(OR($B$3="All",INDEX(tx_Region,L108)=$B$3),OR($B$4="All",INDEX(tx_Category,L108)=$B$4),INDEX(tx_Total,L108)&gt;=$B$5),1,0)</f>
        <v>0</v>
      </c>
      <c r="N108" s="53">
        <f t="shared" si="4"/>
        <v>6</v>
      </c>
    </row>
    <row r="109" ht="15.75" customHeight="1">
      <c r="A109" s="47" t="str">
        <f t="shared" si="1"/>
        <v/>
      </c>
      <c r="B109" s="48" t="str">
        <f t="array" ref="B109">IF($J109="","",INDEX(tx_ID,$J109))</f>
        <v/>
      </c>
      <c r="C109" s="49" t="str">
        <f t="array" ref="C109">IF($J109="","",INDEX(tx_Date,$J109))</f>
        <v/>
      </c>
      <c r="D109" s="48" t="str">
        <f t="array" ref="D109">IF($J109="","",INDEX(tx_CustName,$J109))</f>
        <v/>
      </c>
      <c r="E109" s="48" t="str">
        <f t="array" ref="E109">IF($J109="","",INDEX(tx_Product,$J109))</f>
        <v/>
      </c>
      <c r="F109" s="48" t="str">
        <f t="array" ref="F109">IF($J109="","",INDEX(tx_Category,$J109))</f>
        <v/>
      </c>
      <c r="G109" s="48" t="str">
        <f t="array" ref="G109">IF($J109="","",INDEX(tx_Region,$J109))</f>
        <v/>
      </c>
      <c r="H109" s="50" t="str">
        <f t="array" ref="H109">IF($J109="","",INDEX(tx_Qty,$J109))</f>
        <v/>
      </c>
      <c r="I109" s="51" t="str">
        <f t="array" ref="I109">IF($J109="","",INDEX(tx_Total,$J109))</f>
        <v/>
      </c>
      <c r="J109" s="52" t="str">
        <f t="shared" si="2"/>
        <v/>
      </c>
      <c r="L109" s="53">
        <f t="shared" si="3"/>
        <v>100</v>
      </c>
      <c r="M109" s="53">
        <f t="array" ref="M109">IF(AND(OR($B$3="All",INDEX(tx_Region,L109)=$B$3),OR($B$4="All",INDEX(tx_Category,L109)=$B$4),INDEX(tx_Total,L109)&gt;=$B$5),1,0)</f>
        <v>0</v>
      </c>
      <c r="N109" s="53">
        <f t="shared" si="4"/>
        <v>6</v>
      </c>
    </row>
    <row r="110" ht="15.75" customHeight="1">
      <c r="A110" s="47" t="str">
        <f t="shared" si="1"/>
        <v/>
      </c>
      <c r="B110" s="48" t="str">
        <f t="array" ref="B110">IF($J110="","",INDEX(tx_ID,$J110))</f>
        <v/>
      </c>
      <c r="C110" s="49" t="str">
        <f t="array" ref="C110">IF($J110="","",INDEX(tx_Date,$J110))</f>
        <v/>
      </c>
      <c r="D110" s="48" t="str">
        <f t="array" ref="D110">IF($J110="","",INDEX(tx_CustName,$J110))</f>
        <v/>
      </c>
      <c r="E110" s="48" t="str">
        <f t="array" ref="E110">IF($J110="","",INDEX(tx_Product,$J110))</f>
        <v/>
      </c>
      <c r="F110" s="48" t="str">
        <f t="array" ref="F110">IF($J110="","",INDEX(tx_Category,$J110))</f>
        <v/>
      </c>
      <c r="G110" s="48" t="str">
        <f t="array" ref="G110">IF($J110="","",INDEX(tx_Region,$J110))</f>
        <v/>
      </c>
      <c r="H110" s="50" t="str">
        <f t="array" ref="H110">IF($J110="","",INDEX(tx_Qty,$J110))</f>
        <v/>
      </c>
      <c r="I110" s="51" t="str">
        <f t="array" ref="I110">IF($J110="","",INDEX(tx_Total,$J110))</f>
        <v/>
      </c>
      <c r="J110" s="52" t="str">
        <f t="shared" si="2"/>
        <v/>
      </c>
      <c r="L110" s="53">
        <f t="shared" si="3"/>
        <v>101</v>
      </c>
      <c r="M110" s="53">
        <f t="array" ref="M110">IF(AND(OR($B$3="All",INDEX(tx_Region,L110)=$B$3),OR($B$4="All",INDEX(tx_Category,L110)=$B$4),INDEX(tx_Total,L110)&gt;=$B$5),1,0)</f>
        <v>0</v>
      </c>
      <c r="N110" s="53">
        <f t="shared" si="4"/>
        <v>6</v>
      </c>
    </row>
    <row r="111" ht="15.75" customHeight="1">
      <c r="A111" s="47" t="str">
        <f t="shared" si="1"/>
        <v/>
      </c>
      <c r="B111" s="48" t="str">
        <f t="array" ref="B111">IF($J111="","",INDEX(tx_ID,$J111))</f>
        <v/>
      </c>
      <c r="C111" s="49" t="str">
        <f t="array" ref="C111">IF($J111="","",INDEX(tx_Date,$J111))</f>
        <v/>
      </c>
      <c r="D111" s="48" t="str">
        <f t="array" ref="D111">IF($J111="","",INDEX(tx_CustName,$J111))</f>
        <v/>
      </c>
      <c r="E111" s="48" t="str">
        <f t="array" ref="E111">IF($J111="","",INDEX(tx_Product,$J111))</f>
        <v/>
      </c>
      <c r="F111" s="48" t="str">
        <f t="array" ref="F111">IF($J111="","",INDEX(tx_Category,$J111))</f>
        <v/>
      </c>
      <c r="G111" s="48" t="str">
        <f t="array" ref="G111">IF($J111="","",INDEX(tx_Region,$J111))</f>
        <v/>
      </c>
      <c r="H111" s="50" t="str">
        <f t="array" ref="H111">IF($J111="","",INDEX(tx_Qty,$J111))</f>
        <v/>
      </c>
      <c r="I111" s="51" t="str">
        <f t="array" ref="I111">IF($J111="","",INDEX(tx_Total,$J111))</f>
        <v/>
      </c>
      <c r="J111" s="52" t="str">
        <f t="shared" si="2"/>
        <v/>
      </c>
      <c r="L111" s="53">
        <f t="shared" si="3"/>
        <v>102</v>
      </c>
      <c r="M111" s="53">
        <f t="array" ref="M111">IF(AND(OR($B$3="All",INDEX(tx_Region,L111)=$B$3),OR($B$4="All",INDEX(tx_Category,L111)=$B$4),INDEX(tx_Total,L111)&gt;=$B$5),1,0)</f>
        <v>0</v>
      </c>
      <c r="N111" s="53">
        <f t="shared" si="4"/>
        <v>6</v>
      </c>
    </row>
    <row r="112" ht="15.75" customHeight="1">
      <c r="A112" s="47" t="str">
        <f t="shared" si="1"/>
        <v/>
      </c>
      <c r="B112" s="48" t="str">
        <f t="array" ref="B112">IF($J112="","",INDEX(tx_ID,$J112))</f>
        <v/>
      </c>
      <c r="C112" s="49" t="str">
        <f t="array" ref="C112">IF($J112="","",INDEX(tx_Date,$J112))</f>
        <v/>
      </c>
      <c r="D112" s="48" t="str">
        <f t="array" ref="D112">IF($J112="","",INDEX(tx_CustName,$J112))</f>
        <v/>
      </c>
      <c r="E112" s="48" t="str">
        <f t="array" ref="E112">IF($J112="","",INDEX(tx_Product,$J112))</f>
        <v/>
      </c>
      <c r="F112" s="48" t="str">
        <f t="array" ref="F112">IF($J112="","",INDEX(tx_Category,$J112))</f>
        <v/>
      </c>
      <c r="G112" s="48" t="str">
        <f t="array" ref="G112">IF($J112="","",INDEX(tx_Region,$J112))</f>
        <v/>
      </c>
      <c r="H112" s="50" t="str">
        <f t="array" ref="H112">IF($J112="","",INDEX(tx_Qty,$J112))</f>
        <v/>
      </c>
      <c r="I112" s="51" t="str">
        <f t="array" ref="I112">IF($J112="","",INDEX(tx_Total,$J112))</f>
        <v/>
      </c>
      <c r="J112" s="52" t="str">
        <f t="shared" si="2"/>
        <v/>
      </c>
      <c r="L112" s="53">
        <f t="shared" si="3"/>
        <v>103</v>
      </c>
      <c r="M112" s="53">
        <f t="array" ref="M112">IF(AND(OR($B$3="All",INDEX(tx_Region,L112)=$B$3),OR($B$4="All",INDEX(tx_Category,L112)=$B$4),INDEX(tx_Total,L112)&gt;=$B$5),1,0)</f>
        <v>0</v>
      </c>
      <c r="N112" s="53">
        <f t="shared" si="4"/>
        <v>6</v>
      </c>
    </row>
    <row r="113" ht="15.75" customHeight="1">
      <c r="A113" s="47" t="str">
        <f t="shared" si="1"/>
        <v/>
      </c>
      <c r="B113" s="48" t="str">
        <f t="array" ref="B113">IF($J113="","",INDEX(tx_ID,$J113))</f>
        <v/>
      </c>
      <c r="C113" s="49" t="str">
        <f t="array" ref="C113">IF($J113="","",INDEX(tx_Date,$J113))</f>
        <v/>
      </c>
      <c r="D113" s="48" t="str">
        <f t="array" ref="D113">IF($J113="","",INDEX(tx_CustName,$J113))</f>
        <v/>
      </c>
      <c r="E113" s="48" t="str">
        <f t="array" ref="E113">IF($J113="","",INDEX(tx_Product,$J113))</f>
        <v/>
      </c>
      <c r="F113" s="48" t="str">
        <f t="array" ref="F113">IF($J113="","",INDEX(tx_Category,$J113))</f>
        <v/>
      </c>
      <c r="G113" s="48" t="str">
        <f t="array" ref="G113">IF($J113="","",INDEX(tx_Region,$J113))</f>
        <v/>
      </c>
      <c r="H113" s="50" t="str">
        <f t="array" ref="H113">IF($J113="","",INDEX(tx_Qty,$J113))</f>
        <v/>
      </c>
      <c r="I113" s="51" t="str">
        <f t="array" ref="I113">IF($J113="","",INDEX(tx_Total,$J113))</f>
        <v/>
      </c>
      <c r="J113" s="52" t="str">
        <f t="shared" si="2"/>
        <v/>
      </c>
      <c r="L113" s="53">
        <f t="shared" si="3"/>
        <v>104</v>
      </c>
      <c r="M113" s="53">
        <f t="array" ref="M113">IF(AND(OR($B$3="All",INDEX(tx_Region,L113)=$B$3),OR($B$4="All",INDEX(tx_Category,L113)=$B$4),INDEX(tx_Total,L113)&gt;=$B$5),1,0)</f>
        <v>0</v>
      </c>
      <c r="N113" s="53">
        <f t="shared" si="4"/>
        <v>6</v>
      </c>
    </row>
    <row r="114" ht="15.75" customHeight="1">
      <c r="A114" s="47" t="str">
        <f t="shared" si="1"/>
        <v/>
      </c>
      <c r="B114" s="48" t="str">
        <f t="array" ref="B114">IF($J114="","",INDEX(tx_ID,$J114))</f>
        <v/>
      </c>
      <c r="C114" s="49" t="str">
        <f t="array" ref="C114">IF($J114="","",INDEX(tx_Date,$J114))</f>
        <v/>
      </c>
      <c r="D114" s="48" t="str">
        <f t="array" ref="D114">IF($J114="","",INDEX(tx_CustName,$J114))</f>
        <v/>
      </c>
      <c r="E114" s="48" t="str">
        <f t="array" ref="E114">IF($J114="","",INDEX(tx_Product,$J114))</f>
        <v/>
      </c>
      <c r="F114" s="48" t="str">
        <f t="array" ref="F114">IF($J114="","",INDEX(tx_Category,$J114))</f>
        <v/>
      </c>
      <c r="G114" s="48" t="str">
        <f t="array" ref="G114">IF($J114="","",INDEX(tx_Region,$J114))</f>
        <v/>
      </c>
      <c r="H114" s="50" t="str">
        <f t="array" ref="H114">IF($J114="","",INDEX(tx_Qty,$J114))</f>
        <v/>
      </c>
      <c r="I114" s="51" t="str">
        <f t="array" ref="I114">IF($J114="","",INDEX(tx_Total,$J114))</f>
        <v/>
      </c>
      <c r="J114" s="52" t="str">
        <f t="shared" si="2"/>
        <v/>
      </c>
      <c r="L114" s="53">
        <f t="shared" si="3"/>
        <v>105</v>
      </c>
      <c r="M114" s="53">
        <f t="array" ref="M114">IF(AND(OR($B$3="All",INDEX(tx_Region,L114)=$B$3),OR($B$4="All",INDEX(tx_Category,L114)=$B$4),INDEX(tx_Total,L114)&gt;=$B$5),1,0)</f>
        <v>0</v>
      </c>
      <c r="N114" s="53">
        <f t="shared" si="4"/>
        <v>6</v>
      </c>
    </row>
    <row r="115" ht="15.75" customHeight="1">
      <c r="A115" s="47" t="str">
        <f t="shared" si="1"/>
        <v/>
      </c>
      <c r="B115" s="48" t="str">
        <f t="array" ref="B115">IF($J115="","",INDEX(tx_ID,$J115))</f>
        <v/>
      </c>
      <c r="C115" s="49" t="str">
        <f t="array" ref="C115">IF($J115="","",INDEX(tx_Date,$J115))</f>
        <v/>
      </c>
      <c r="D115" s="48" t="str">
        <f t="array" ref="D115">IF($J115="","",INDEX(tx_CustName,$J115))</f>
        <v/>
      </c>
      <c r="E115" s="48" t="str">
        <f t="array" ref="E115">IF($J115="","",INDEX(tx_Product,$J115))</f>
        <v/>
      </c>
      <c r="F115" s="48" t="str">
        <f t="array" ref="F115">IF($J115="","",INDEX(tx_Category,$J115))</f>
        <v/>
      </c>
      <c r="G115" s="48" t="str">
        <f t="array" ref="G115">IF($J115="","",INDEX(tx_Region,$J115))</f>
        <v/>
      </c>
      <c r="H115" s="50" t="str">
        <f t="array" ref="H115">IF($J115="","",INDEX(tx_Qty,$J115))</f>
        <v/>
      </c>
      <c r="I115" s="51" t="str">
        <f t="array" ref="I115">IF($J115="","",INDEX(tx_Total,$J115))</f>
        <v/>
      </c>
      <c r="J115" s="52" t="str">
        <f t="shared" si="2"/>
        <v/>
      </c>
      <c r="L115" s="53">
        <f t="shared" si="3"/>
        <v>106</v>
      </c>
      <c r="M115" s="53">
        <f t="array" ref="M115">IF(AND(OR($B$3="All",INDEX(tx_Region,L115)=$B$3),OR($B$4="All",INDEX(tx_Category,L115)=$B$4),INDEX(tx_Total,L115)&gt;=$B$5),1,0)</f>
        <v>0</v>
      </c>
      <c r="N115" s="53">
        <f t="shared" si="4"/>
        <v>6</v>
      </c>
    </row>
    <row r="116" ht="15.75" customHeight="1">
      <c r="A116" s="47" t="str">
        <f t="shared" si="1"/>
        <v/>
      </c>
      <c r="B116" s="48" t="str">
        <f t="array" ref="B116">IF($J116="","",INDEX(tx_ID,$J116))</f>
        <v/>
      </c>
      <c r="C116" s="49" t="str">
        <f t="array" ref="C116">IF($J116="","",INDEX(tx_Date,$J116))</f>
        <v/>
      </c>
      <c r="D116" s="48" t="str">
        <f t="array" ref="D116">IF($J116="","",INDEX(tx_CustName,$J116))</f>
        <v/>
      </c>
      <c r="E116" s="48" t="str">
        <f t="array" ref="E116">IF($J116="","",INDEX(tx_Product,$J116))</f>
        <v/>
      </c>
      <c r="F116" s="48" t="str">
        <f t="array" ref="F116">IF($J116="","",INDEX(tx_Category,$J116))</f>
        <v/>
      </c>
      <c r="G116" s="48" t="str">
        <f t="array" ref="G116">IF($J116="","",INDEX(tx_Region,$J116))</f>
        <v/>
      </c>
      <c r="H116" s="50" t="str">
        <f t="array" ref="H116">IF($J116="","",INDEX(tx_Qty,$J116))</f>
        <v/>
      </c>
      <c r="I116" s="51" t="str">
        <f t="array" ref="I116">IF($J116="","",INDEX(tx_Total,$J116))</f>
        <v/>
      </c>
      <c r="J116" s="52" t="str">
        <f t="shared" si="2"/>
        <v/>
      </c>
      <c r="L116" s="53">
        <f t="shared" si="3"/>
        <v>107</v>
      </c>
      <c r="M116" s="53">
        <f t="array" ref="M116">IF(AND(OR($B$3="All",INDEX(tx_Region,L116)=$B$3),OR($B$4="All",INDEX(tx_Category,L116)=$B$4),INDEX(tx_Total,L116)&gt;=$B$5),1,0)</f>
        <v>0</v>
      </c>
      <c r="N116" s="53">
        <f t="shared" si="4"/>
        <v>6</v>
      </c>
    </row>
    <row r="117" ht="15.75" customHeight="1">
      <c r="A117" s="47" t="str">
        <f t="shared" si="1"/>
        <v/>
      </c>
      <c r="B117" s="48" t="str">
        <f t="array" ref="B117">IF($J117="","",INDEX(tx_ID,$J117))</f>
        <v/>
      </c>
      <c r="C117" s="49" t="str">
        <f t="array" ref="C117">IF($J117="","",INDEX(tx_Date,$J117))</f>
        <v/>
      </c>
      <c r="D117" s="48" t="str">
        <f t="array" ref="D117">IF($J117="","",INDEX(tx_CustName,$J117))</f>
        <v/>
      </c>
      <c r="E117" s="48" t="str">
        <f t="array" ref="E117">IF($J117="","",INDEX(tx_Product,$J117))</f>
        <v/>
      </c>
      <c r="F117" s="48" t="str">
        <f t="array" ref="F117">IF($J117="","",INDEX(tx_Category,$J117))</f>
        <v/>
      </c>
      <c r="G117" s="48" t="str">
        <f t="array" ref="G117">IF($J117="","",INDEX(tx_Region,$J117))</f>
        <v/>
      </c>
      <c r="H117" s="50" t="str">
        <f t="array" ref="H117">IF($J117="","",INDEX(tx_Qty,$J117))</f>
        <v/>
      </c>
      <c r="I117" s="51" t="str">
        <f t="array" ref="I117">IF($J117="","",INDEX(tx_Total,$J117))</f>
        <v/>
      </c>
      <c r="J117" s="52" t="str">
        <f t="shared" si="2"/>
        <v/>
      </c>
      <c r="L117" s="53">
        <f t="shared" si="3"/>
        <v>108</v>
      </c>
      <c r="M117" s="53">
        <f t="array" ref="M117">IF(AND(OR($B$3="All",INDEX(tx_Region,L117)=$B$3),OR($B$4="All",INDEX(tx_Category,L117)=$B$4),INDEX(tx_Total,L117)&gt;=$B$5),1,0)</f>
        <v>0</v>
      </c>
      <c r="N117" s="53">
        <f t="shared" si="4"/>
        <v>6</v>
      </c>
    </row>
    <row r="118" ht="15.75" customHeight="1">
      <c r="A118" s="47" t="str">
        <f t="shared" si="1"/>
        <v/>
      </c>
      <c r="B118" s="48" t="str">
        <f t="array" ref="B118">IF($J118="","",INDEX(tx_ID,$J118))</f>
        <v/>
      </c>
      <c r="C118" s="49" t="str">
        <f t="array" ref="C118">IF($J118="","",INDEX(tx_Date,$J118))</f>
        <v/>
      </c>
      <c r="D118" s="48" t="str">
        <f t="array" ref="D118">IF($J118="","",INDEX(tx_CustName,$J118))</f>
        <v/>
      </c>
      <c r="E118" s="48" t="str">
        <f t="array" ref="E118">IF($J118="","",INDEX(tx_Product,$J118))</f>
        <v/>
      </c>
      <c r="F118" s="48" t="str">
        <f t="array" ref="F118">IF($J118="","",INDEX(tx_Category,$J118))</f>
        <v/>
      </c>
      <c r="G118" s="48" t="str">
        <f t="array" ref="G118">IF($J118="","",INDEX(tx_Region,$J118))</f>
        <v/>
      </c>
      <c r="H118" s="50" t="str">
        <f t="array" ref="H118">IF($J118="","",INDEX(tx_Qty,$J118))</f>
        <v/>
      </c>
      <c r="I118" s="51" t="str">
        <f t="array" ref="I118">IF($J118="","",INDEX(tx_Total,$J118))</f>
        <v/>
      </c>
      <c r="J118" s="52" t="str">
        <f t="shared" si="2"/>
        <v/>
      </c>
      <c r="L118" s="53">
        <f t="shared" si="3"/>
        <v>109</v>
      </c>
      <c r="M118" s="53">
        <f t="array" ref="M118">IF(AND(OR($B$3="All",INDEX(tx_Region,L118)=$B$3),OR($B$4="All",INDEX(tx_Category,L118)=$B$4),INDEX(tx_Total,L118)&gt;=$B$5),1,0)</f>
        <v>0</v>
      </c>
      <c r="N118" s="53">
        <f t="shared" si="4"/>
        <v>6</v>
      </c>
    </row>
    <row r="119" ht="15.75" customHeight="1">
      <c r="A119" s="47" t="str">
        <f t="shared" si="1"/>
        <v/>
      </c>
      <c r="B119" s="48" t="str">
        <f t="array" ref="B119">IF($J119="","",INDEX(tx_ID,$J119))</f>
        <v/>
      </c>
      <c r="C119" s="49" t="str">
        <f t="array" ref="C119">IF($J119="","",INDEX(tx_Date,$J119))</f>
        <v/>
      </c>
      <c r="D119" s="48" t="str">
        <f t="array" ref="D119">IF($J119="","",INDEX(tx_CustName,$J119))</f>
        <v/>
      </c>
      <c r="E119" s="48" t="str">
        <f t="array" ref="E119">IF($J119="","",INDEX(tx_Product,$J119))</f>
        <v/>
      </c>
      <c r="F119" s="48" t="str">
        <f t="array" ref="F119">IF($J119="","",INDEX(tx_Category,$J119))</f>
        <v/>
      </c>
      <c r="G119" s="48" t="str">
        <f t="array" ref="G119">IF($J119="","",INDEX(tx_Region,$J119))</f>
        <v/>
      </c>
      <c r="H119" s="50" t="str">
        <f t="array" ref="H119">IF($J119="","",INDEX(tx_Qty,$J119))</f>
        <v/>
      </c>
      <c r="I119" s="51" t="str">
        <f t="array" ref="I119">IF($J119="","",INDEX(tx_Total,$J119))</f>
        <v/>
      </c>
      <c r="J119" s="52" t="str">
        <f t="shared" si="2"/>
        <v/>
      </c>
      <c r="L119" s="53">
        <f t="shared" si="3"/>
        <v>110</v>
      </c>
      <c r="M119" s="53">
        <f t="array" ref="M119">IF(AND(OR($B$3="All",INDEX(tx_Region,L119)=$B$3),OR($B$4="All",INDEX(tx_Category,L119)=$B$4),INDEX(tx_Total,L119)&gt;=$B$5),1,0)</f>
        <v>0</v>
      </c>
      <c r="N119" s="53">
        <f t="shared" si="4"/>
        <v>6</v>
      </c>
    </row>
    <row r="120" ht="15.75" customHeight="1">
      <c r="A120" s="47" t="str">
        <f t="shared" si="1"/>
        <v/>
      </c>
      <c r="B120" s="48" t="str">
        <f t="array" ref="B120">IF($J120="","",INDEX(tx_ID,$J120))</f>
        <v/>
      </c>
      <c r="C120" s="49" t="str">
        <f t="array" ref="C120">IF($J120="","",INDEX(tx_Date,$J120))</f>
        <v/>
      </c>
      <c r="D120" s="48" t="str">
        <f t="array" ref="D120">IF($J120="","",INDEX(tx_CustName,$J120))</f>
        <v/>
      </c>
      <c r="E120" s="48" t="str">
        <f t="array" ref="E120">IF($J120="","",INDEX(tx_Product,$J120))</f>
        <v/>
      </c>
      <c r="F120" s="48" t="str">
        <f t="array" ref="F120">IF($J120="","",INDEX(tx_Category,$J120))</f>
        <v/>
      </c>
      <c r="G120" s="48" t="str">
        <f t="array" ref="G120">IF($J120="","",INDEX(tx_Region,$J120))</f>
        <v/>
      </c>
      <c r="H120" s="50" t="str">
        <f t="array" ref="H120">IF($J120="","",INDEX(tx_Qty,$J120))</f>
        <v/>
      </c>
      <c r="I120" s="51" t="str">
        <f t="array" ref="I120">IF($J120="","",INDEX(tx_Total,$J120))</f>
        <v/>
      </c>
      <c r="J120" s="52" t="str">
        <f t="shared" si="2"/>
        <v/>
      </c>
      <c r="L120" s="53">
        <f t="shared" si="3"/>
        <v>111</v>
      </c>
      <c r="M120" s="53">
        <f t="array" ref="M120">IF(AND(OR($B$3="All",INDEX(tx_Region,L120)=$B$3),OR($B$4="All",INDEX(tx_Category,L120)=$B$4),INDEX(tx_Total,L120)&gt;=$B$5),1,0)</f>
        <v>0</v>
      </c>
      <c r="N120" s="53">
        <f t="shared" si="4"/>
        <v>6</v>
      </c>
    </row>
    <row r="121" ht="15.75" customHeight="1">
      <c r="A121" s="47" t="str">
        <f t="shared" si="1"/>
        <v/>
      </c>
      <c r="B121" s="48" t="str">
        <f t="array" ref="B121">IF($J121="","",INDEX(tx_ID,$J121))</f>
        <v/>
      </c>
      <c r="C121" s="49" t="str">
        <f t="array" ref="C121">IF($J121="","",INDEX(tx_Date,$J121))</f>
        <v/>
      </c>
      <c r="D121" s="48" t="str">
        <f t="array" ref="D121">IF($J121="","",INDEX(tx_CustName,$J121))</f>
        <v/>
      </c>
      <c r="E121" s="48" t="str">
        <f t="array" ref="E121">IF($J121="","",INDEX(tx_Product,$J121))</f>
        <v/>
      </c>
      <c r="F121" s="48" t="str">
        <f t="array" ref="F121">IF($J121="","",INDEX(tx_Category,$J121))</f>
        <v/>
      </c>
      <c r="G121" s="48" t="str">
        <f t="array" ref="G121">IF($J121="","",INDEX(tx_Region,$J121))</f>
        <v/>
      </c>
      <c r="H121" s="50" t="str">
        <f t="array" ref="H121">IF($J121="","",INDEX(tx_Qty,$J121))</f>
        <v/>
      </c>
      <c r="I121" s="51" t="str">
        <f t="array" ref="I121">IF($J121="","",INDEX(tx_Total,$J121))</f>
        <v/>
      </c>
      <c r="J121" s="52" t="str">
        <f t="shared" si="2"/>
        <v/>
      </c>
      <c r="L121" s="53">
        <f t="shared" si="3"/>
        <v>112</v>
      </c>
      <c r="M121" s="53">
        <f t="array" ref="M121">IF(AND(OR($B$3="All",INDEX(tx_Region,L121)=$B$3),OR($B$4="All",INDEX(tx_Category,L121)=$B$4),INDEX(tx_Total,L121)&gt;=$B$5),1,0)</f>
        <v>0</v>
      </c>
      <c r="N121" s="53">
        <f t="shared" si="4"/>
        <v>6</v>
      </c>
    </row>
    <row r="122" ht="15.75" customHeight="1">
      <c r="A122" s="47" t="str">
        <f t="shared" si="1"/>
        <v/>
      </c>
      <c r="B122" s="48" t="str">
        <f t="array" ref="B122">IF($J122="","",INDEX(tx_ID,$J122))</f>
        <v/>
      </c>
      <c r="C122" s="49" t="str">
        <f t="array" ref="C122">IF($J122="","",INDEX(tx_Date,$J122))</f>
        <v/>
      </c>
      <c r="D122" s="48" t="str">
        <f t="array" ref="D122">IF($J122="","",INDEX(tx_CustName,$J122))</f>
        <v/>
      </c>
      <c r="E122" s="48" t="str">
        <f t="array" ref="E122">IF($J122="","",INDEX(tx_Product,$J122))</f>
        <v/>
      </c>
      <c r="F122" s="48" t="str">
        <f t="array" ref="F122">IF($J122="","",INDEX(tx_Category,$J122))</f>
        <v/>
      </c>
      <c r="G122" s="48" t="str">
        <f t="array" ref="G122">IF($J122="","",INDEX(tx_Region,$J122))</f>
        <v/>
      </c>
      <c r="H122" s="50" t="str">
        <f t="array" ref="H122">IF($J122="","",INDEX(tx_Qty,$J122))</f>
        <v/>
      </c>
      <c r="I122" s="51" t="str">
        <f t="array" ref="I122">IF($J122="","",INDEX(tx_Total,$J122))</f>
        <v/>
      </c>
      <c r="J122" s="52" t="str">
        <f t="shared" si="2"/>
        <v/>
      </c>
      <c r="L122" s="53">
        <f t="shared" si="3"/>
        <v>113</v>
      </c>
      <c r="M122" s="53">
        <f t="array" ref="M122">IF(AND(OR($B$3="All",INDEX(tx_Region,L122)=$B$3),OR($B$4="All",INDEX(tx_Category,L122)=$B$4),INDEX(tx_Total,L122)&gt;=$B$5),1,0)</f>
        <v>0</v>
      </c>
      <c r="N122" s="53">
        <f t="shared" si="4"/>
        <v>6</v>
      </c>
    </row>
    <row r="123" ht="15.75" customHeight="1">
      <c r="A123" s="47" t="str">
        <f t="shared" si="1"/>
        <v/>
      </c>
      <c r="B123" s="48" t="str">
        <f t="array" ref="B123">IF($J123="","",INDEX(tx_ID,$J123))</f>
        <v/>
      </c>
      <c r="C123" s="49" t="str">
        <f t="array" ref="C123">IF($J123="","",INDEX(tx_Date,$J123))</f>
        <v/>
      </c>
      <c r="D123" s="48" t="str">
        <f t="array" ref="D123">IF($J123="","",INDEX(tx_CustName,$J123))</f>
        <v/>
      </c>
      <c r="E123" s="48" t="str">
        <f t="array" ref="E123">IF($J123="","",INDEX(tx_Product,$J123))</f>
        <v/>
      </c>
      <c r="F123" s="48" t="str">
        <f t="array" ref="F123">IF($J123="","",INDEX(tx_Category,$J123))</f>
        <v/>
      </c>
      <c r="G123" s="48" t="str">
        <f t="array" ref="G123">IF($J123="","",INDEX(tx_Region,$J123))</f>
        <v/>
      </c>
      <c r="H123" s="50" t="str">
        <f t="array" ref="H123">IF($J123="","",INDEX(tx_Qty,$J123))</f>
        <v/>
      </c>
      <c r="I123" s="51" t="str">
        <f t="array" ref="I123">IF($J123="","",INDEX(tx_Total,$J123))</f>
        <v/>
      </c>
      <c r="J123" s="52" t="str">
        <f t="shared" si="2"/>
        <v/>
      </c>
      <c r="L123" s="53">
        <f t="shared" si="3"/>
        <v>114</v>
      </c>
      <c r="M123" s="53">
        <f t="array" ref="M123">IF(AND(OR($B$3="All",INDEX(tx_Region,L123)=$B$3),OR($B$4="All",INDEX(tx_Category,L123)=$B$4),INDEX(tx_Total,L123)&gt;=$B$5),1,0)</f>
        <v>0</v>
      </c>
      <c r="N123" s="53">
        <f t="shared" si="4"/>
        <v>6</v>
      </c>
    </row>
    <row r="124" ht="15.75" customHeight="1">
      <c r="A124" s="47" t="str">
        <f t="shared" si="1"/>
        <v/>
      </c>
      <c r="B124" s="48" t="str">
        <f t="array" ref="B124">IF($J124="","",INDEX(tx_ID,$J124))</f>
        <v/>
      </c>
      <c r="C124" s="49" t="str">
        <f t="array" ref="C124">IF($J124="","",INDEX(tx_Date,$J124))</f>
        <v/>
      </c>
      <c r="D124" s="48" t="str">
        <f t="array" ref="D124">IF($J124="","",INDEX(tx_CustName,$J124))</f>
        <v/>
      </c>
      <c r="E124" s="48" t="str">
        <f t="array" ref="E124">IF($J124="","",INDEX(tx_Product,$J124))</f>
        <v/>
      </c>
      <c r="F124" s="48" t="str">
        <f t="array" ref="F124">IF($J124="","",INDEX(tx_Category,$J124))</f>
        <v/>
      </c>
      <c r="G124" s="48" t="str">
        <f t="array" ref="G124">IF($J124="","",INDEX(tx_Region,$J124))</f>
        <v/>
      </c>
      <c r="H124" s="50" t="str">
        <f t="array" ref="H124">IF($J124="","",INDEX(tx_Qty,$J124))</f>
        <v/>
      </c>
      <c r="I124" s="51" t="str">
        <f t="array" ref="I124">IF($J124="","",INDEX(tx_Total,$J124))</f>
        <v/>
      </c>
      <c r="J124" s="52" t="str">
        <f t="shared" si="2"/>
        <v/>
      </c>
      <c r="L124" s="53">
        <f t="shared" si="3"/>
        <v>115</v>
      </c>
      <c r="M124" s="53">
        <f t="array" ref="M124">IF(AND(OR($B$3="All",INDEX(tx_Region,L124)=$B$3),OR($B$4="All",INDEX(tx_Category,L124)=$B$4),INDEX(tx_Total,L124)&gt;=$B$5),1,0)</f>
        <v>0</v>
      </c>
      <c r="N124" s="53">
        <f t="shared" si="4"/>
        <v>6</v>
      </c>
    </row>
    <row r="125" ht="15.75" customHeight="1">
      <c r="A125" s="47" t="str">
        <f t="shared" si="1"/>
        <v/>
      </c>
      <c r="B125" s="48" t="str">
        <f t="array" ref="B125">IF($J125="","",INDEX(tx_ID,$J125))</f>
        <v/>
      </c>
      <c r="C125" s="49" t="str">
        <f t="array" ref="C125">IF($J125="","",INDEX(tx_Date,$J125))</f>
        <v/>
      </c>
      <c r="D125" s="48" t="str">
        <f t="array" ref="D125">IF($J125="","",INDEX(tx_CustName,$J125))</f>
        <v/>
      </c>
      <c r="E125" s="48" t="str">
        <f t="array" ref="E125">IF($J125="","",INDEX(tx_Product,$J125))</f>
        <v/>
      </c>
      <c r="F125" s="48" t="str">
        <f t="array" ref="F125">IF($J125="","",INDEX(tx_Category,$J125))</f>
        <v/>
      </c>
      <c r="G125" s="48" t="str">
        <f t="array" ref="G125">IF($J125="","",INDEX(tx_Region,$J125))</f>
        <v/>
      </c>
      <c r="H125" s="50" t="str">
        <f t="array" ref="H125">IF($J125="","",INDEX(tx_Qty,$J125))</f>
        <v/>
      </c>
      <c r="I125" s="51" t="str">
        <f t="array" ref="I125">IF($J125="","",INDEX(tx_Total,$J125))</f>
        <v/>
      </c>
      <c r="J125" s="52" t="str">
        <f t="shared" si="2"/>
        <v/>
      </c>
      <c r="L125" s="53">
        <f t="shared" si="3"/>
        <v>116</v>
      </c>
      <c r="M125" s="53">
        <f t="array" ref="M125">IF(AND(OR($B$3="All",INDEX(tx_Region,L125)=$B$3),OR($B$4="All",INDEX(tx_Category,L125)=$B$4),INDEX(tx_Total,L125)&gt;=$B$5),1,0)</f>
        <v>0</v>
      </c>
      <c r="N125" s="53">
        <f t="shared" si="4"/>
        <v>6</v>
      </c>
    </row>
    <row r="126" ht="15.75" customHeight="1">
      <c r="A126" s="47" t="str">
        <f t="shared" si="1"/>
        <v/>
      </c>
      <c r="B126" s="48" t="str">
        <f t="array" ref="B126">IF($J126="","",INDEX(tx_ID,$J126))</f>
        <v/>
      </c>
      <c r="C126" s="49" t="str">
        <f t="array" ref="C126">IF($J126="","",INDEX(tx_Date,$J126))</f>
        <v/>
      </c>
      <c r="D126" s="48" t="str">
        <f t="array" ref="D126">IF($J126="","",INDEX(tx_CustName,$J126))</f>
        <v/>
      </c>
      <c r="E126" s="48" t="str">
        <f t="array" ref="E126">IF($J126="","",INDEX(tx_Product,$J126))</f>
        <v/>
      </c>
      <c r="F126" s="48" t="str">
        <f t="array" ref="F126">IF($J126="","",INDEX(tx_Category,$J126))</f>
        <v/>
      </c>
      <c r="G126" s="48" t="str">
        <f t="array" ref="G126">IF($J126="","",INDEX(tx_Region,$J126))</f>
        <v/>
      </c>
      <c r="H126" s="50" t="str">
        <f t="array" ref="H126">IF($J126="","",INDEX(tx_Qty,$J126))</f>
        <v/>
      </c>
      <c r="I126" s="51" t="str">
        <f t="array" ref="I126">IF($J126="","",INDEX(tx_Total,$J126))</f>
        <v/>
      </c>
      <c r="J126" s="52" t="str">
        <f t="shared" si="2"/>
        <v/>
      </c>
      <c r="L126" s="53">
        <f t="shared" si="3"/>
        <v>117</v>
      </c>
      <c r="M126" s="53">
        <f t="array" ref="M126">IF(AND(OR($B$3="All",INDEX(tx_Region,L126)=$B$3),OR($B$4="All",INDEX(tx_Category,L126)=$B$4),INDEX(tx_Total,L126)&gt;=$B$5),1,0)</f>
        <v>0</v>
      </c>
      <c r="N126" s="53">
        <f t="shared" si="4"/>
        <v>6</v>
      </c>
    </row>
    <row r="127" ht="15.75" customHeight="1">
      <c r="A127" s="47" t="str">
        <f t="shared" si="1"/>
        <v/>
      </c>
      <c r="B127" s="48" t="str">
        <f t="array" ref="B127">IF($J127="","",INDEX(tx_ID,$J127))</f>
        <v/>
      </c>
      <c r="C127" s="49" t="str">
        <f t="array" ref="C127">IF($J127="","",INDEX(tx_Date,$J127))</f>
        <v/>
      </c>
      <c r="D127" s="48" t="str">
        <f t="array" ref="D127">IF($J127="","",INDEX(tx_CustName,$J127))</f>
        <v/>
      </c>
      <c r="E127" s="48" t="str">
        <f t="array" ref="E127">IF($J127="","",INDEX(tx_Product,$J127))</f>
        <v/>
      </c>
      <c r="F127" s="48" t="str">
        <f t="array" ref="F127">IF($J127="","",INDEX(tx_Category,$J127))</f>
        <v/>
      </c>
      <c r="G127" s="48" t="str">
        <f t="array" ref="G127">IF($J127="","",INDEX(tx_Region,$J127))</f>
        <v/>
      </c>
      <c r="H127" s="50" t="str">
        <f t="array" ref="H127">IF($J127="","",INDEX(tx_Qty,$J127))</f>
        <v/>
      </c>
      <c r="I127" s="51" t="str">
        <f t="array" ref="I127">IF($J127="","",INDEX(tx_Total,$J127))</f>
        <v/>
      </c>
      <c r="J127" s="52" t="str">
        <f t="shared" si="2"/>
        <v/>
      </c>
      <c r="L127" s="53">
        <f t="shared" si="3"/>
        <v>118</v>
      </c>
      <c r="M127" s="53">
        <f t="array" ref="M127">IF(AND(OR($B$3="All",INDEX(tx_Region,L127)=$B$3),OR($B$4="All",INDEX(tx_Category,L127)=$B$4),INDEX(tx_Total,L127)&gt;=$B$5),1,0)</f>
        <v>0</v>
      </c>
      <c r="N127" s="53">
        <f t="shared" si="4"/>
        <v>6</v>
      </c>
    </row>
    <row r="128" ht="15.75" customHeight="1">
      <c r="A128" s="47" t="str">
        <f t="shared" si="1"/>
        <v/>
      </c>
      <c r="B128" s="48" t="str">
        <f t="array" ref="B128">IF($J128="","",INDEX(tx_ID,$J128))</f>
        <v/>
      </c>
      <c r="C128" s="49" t="str">
        <f t="array" ref="C128">IF($J128="","",INDEX(tx_Date,$J128))</f>
        <v/>
      </c>
      <c r="D128" s="48" t="str">
        <f t="array" ref="D128">IF($J128="","",INDEX(tx_CustName,$J128))</f>
        <v/>
      </c>
      <c r="E128" s="48" t="str">
        <f t="array" ref="E128">IF($J128="","",INDEX(tx_Product,$J128))</f>
        <v/>
      </c>
      <c r="F128" s="48" t="str">
        <f t="array" ref="F128">IF($J128="","",INDEX(tx_Category,$J128))</f>
        <v/>
      </c>
      <c r="G128" s="48" t="str">
        <f t="array" ref="G128">IF($J128="","",INDEX(tx_Region,$J128))</f>
        <v/>
      </c>
      <c r="H128" s="50" t="str">
        <f t="array" ref="H128">IF($J128="","",INDEX(tx_Qty,$J128))</f>
        <v/>
      </c>
      <c r="I128" s="51" t="str">
        <f t="array" ref="I128">IF($J128="","",INDEX(tx_Total,$J128))</f>
        <v/>
      </c>
      <c r="J128" s="52" t="str">
        <f t="shared" si="2"/>
        <v/>
      </c>
      <c r="L128" s="53">
        <f t="shared" si="3"/>
        <v>119</v>
      </c>
      <c r="M128" s="53">
        <f t="array" ref="M128">IF(AND(OR($B$3="All",INDEX(tx_Region,L128)=$B$3),OR($B$4="All",INDEX(tx_Category,L128)=$B$4),INDEX(tx_Total,L128)&gt;=$B$5),1,0)</f>
        <v>0</v>
      </c>
      <c r="N128" s="53">
        <f t="shared" si="4"/>
        <v>6</v>
      </c>
    </row>
    <row r="129" ht="15.75" customHeight="1">
      <c r="A129" s="47" t="str">
        <f t="shared" si="1"/>
        <v/>
      </c>
      <c r="B129" s="48" t="str">
        <f t="array" ref="B129">IF($J129="","",INDEX(tx_ID,$J129))</f>
        <v/>
      </c>
      <c r="C129" s="49" t="str">
        <f t="array" ref="C129">IF($J129="","",INDEX(tx_Date,$J129))</f>
        <v/>
      </c>
      <c r="D129" s="48" t="str">
        <f t="array" ref="D129">IF($J129="","",INDEX(tx_CustName,$J129))</f>
        <v/>
      </c>
      <c r="E129" s="48" t="str">
        <f t="array" ref="E129">IF($J129="","",INDEX(tx_Product,$J129))</f>
        <v/>
      </c>
      <c r="F129" s="48" t="str">
        <f t="array" ref="F129">IF($J129="","",INDEX(tx_Category,$J129))</f>
        <v/>
      </c>
      <c r="G129" s="48" t="str">
        <f t="array" ref="G129">IF($J129="","",INDEX(tx_Region,$J129))</f>
        <v/>
      </c>
      <c r="H129" s="50" t="str">
        <f t="array" ref="H129">IF($J129="","",INDEX(tx_Qty,$J129))</f>
        <v/>
      </c>
      <c r="I129" s="51" t="str">
        <f t="array" ref="I129">IF($J129="","",INDEX(tx_Total,$J129))</f>
        <v/>
      </c>
      <c r="J129" s="52" t="str">
        <f t="shared" si="2"/>
        <v/>
      </c>
      <c r="L129" s="53">
        <f t="shared" si="3"/>
        <v>120</v>
      </c>
      <c r="M129" s="53">
        <f t="array" ref="M129">IF(AND(OR($B$3="All",INDEX(tx_Region,L129)=$B$3),OR($B$4="All",INDEX(tx_Category,L129)=$B$4),INDEX(tx_Total,L129)&gt;=$B$5),1,0)</f>
        <v>0</v>
      </c>
      <c r="N129" s="53">
        <f t="shared" si="4"/>
        <v>6</v>
      </c>
    </row>
    <row r="130" ht="15.75" customHeight="1">
      <c r="A130" s="47" t="str">
        <f t="shared" si="1"/>
        <v/>
      </c>
      <c r="B130" s="48" t="str">
        <f t="array" ref="B130">IF($J130="","",INDEX(tx_ID,$J130))</f>
        <v/>
      </c>
      <c r="C130" s="49" t="str">
        <f t="array" ref="C130">IF($J130="","",INDEX(tx_Date,$J130))</f>
        <v/>
      </c>
      <c r="D130" s="48" t="str">
        <f t="array" ref="D130">IF($J130="","",INDEX(tx_CustName,$J130))</f>
        <v/>
      </c>
      <c r="E130" s="48" t="str">
        <f t="array" ref="E130">IF($J130="","",INDEX(tx_Product,$J130))</f>
        <v/>
      </c>
      <c r="F130" s="48" t="str">
        <f t="array" ref="F130">IF($J130="","",INDEX(tx_Category,$J130))</f>
        <v/>
      </c>
      <c r="G130" s="48" t="str">
        <f t="array" ref="G130">IF($J130="","",INDEX(tx_Region,$J130))</f>
        <v/>
      </c>
      <c r="H130" s="50" t="str">
        <f t="array" ref="H130">IF($J130="","",INDEX(tx_Qty,$J130))</f>
        <v/>
      </c>
      <c r="I130" s="51" t="str">
        <f t="array" ref="I130">IF($J130="","",INDEX(tx_Total,$J130))</f>
        <v/>
      </c>
      <c r="J130" s="52" t="str">
        <f t="shared" si="2"/>
        <v/>
      </c>
      <c r="L130" s="53">
        <f t="shared" si="3"/>
        <v>121</v>
      </c>
      <c r="M130" s="53">
        <f t="array" ref="M130">IF(AND(OR($B$3="All",INDEX(tx_Region,L130)=$B$3),OR($B$4="All",INDEX(tx_Category,L130)=$B$4),INDEX(tx_Total,L130)&gt;=$B$5),1,0)</f>
        <v>0</v>
      </c>
      <c r="N130" s="53">
        <f t="shared" si="4"/>
        <v>6</v>
      </c>
    </row>
    <row r="131" ht="15.75" customHeight="1">
      <c r="A131" s="47" t="str">
        <f t="shared" si="1"/>
        <v/>
      </c>
      <c r="B131" s="48" t="str">
        <f t="array" ref="B131">IF($J131="","",INDEX(tx_ID,$J131))</f>
        <v/>
      </c>
      <c r="C131" s="49" t="str">
        <f t="array" ref="C131">IF($J131="","",INDEX(tx_Date,$J131))</f>
        <v/>
      </c>
      <c r="D131" s="48" t="str">
        <f t="array" ref="D131">IF($J131="","",INDEX(tx_CustName,$J131))</f>
        <v/>
      </c>
      <c r="E131" s="48" t="str">
        <f t="array" ref="E131">IF($J131="","",INDEX(tx_Product,$J131))</f>
        <v/>
      </c>
      <c r="F131" s="48" t="str">
        <f t="array" ref="F131">IF($J131="","",INDEX(tx_Category,$J131))</f>
        <v/>
      </c>
      <c r="G131" s="48" t="str">
        <f t="array" ref="G131">IF($J131="","",INDEX(tx_Region,$J131))</f>
        <v/>
      </c>
      <c r="H131" s="50" t="str">
        <f t="array" ref="H131">IF($J131="","",INDEX(tx_Qty,$J131))</f>
        <v/>
      </c>
      <c r="I131" s="51" t="str">
        <f t="array" ref="I131">IF($J131="","",INDEX(tx_Total,$J131))</f>
        <v/>
      </c>
      <c r="J131" s="52" t="str">
        <f t="shared" si="2"/>
        <v/>
      </c>
      <c r="L131" s="53">
        <f t="shared" si="3"/>
        <v>122</v>
      </c>
      <c r="M131" s="53">
        <f t="array" ref="M131">IF(AND(OR($B$3="All",INDEX(tx_Region,L131)=$B$3),OR($B$4="All",INDEX(tx_Category,L131)=$B$4),INDEX(tx_Total,L131)&gt;=$B$5),1,0)</f>
        <v>0</v>
      </c>
      <c r="N131" s="53">
        <f t="shared" si="4"/>
        <v>6</v>
      </c>
    </row>
    <row r="132" ht="15.75" customHeight="1">
      <c r="A132" s="47" t="str">
        <f t="shared" si="1"/>
        <v/>
      </c>
      <c r="B132" s="48" t="str">
        <f t="array" ref="B132">IF($J132="","",INDEX(tx_ID,$J132))</f>
        <v/>
      </c>
      <c r="C132" s="49" t="str">
        <f t="array" ref="C132">IF($J132="","",INDEX(tx_Date,$J132))</f>
        <v/>
      </c>
      <c r="D132" s="48" t="str">
        <f t="array" ref="D132">IF($J132="","",INDEX(tx_CustName,$J132))</f>
        <v/>
      </c>
      <c r="E132" s="48" t="str">
        <f t="array" ref="E132">IF($J132="","",INDEX(tx_Product,$J132))</f>
        <v/>
      </c>
      <c r="F132" s="48" t="str">
        <f t="array" ref="F132">IF($J132="","",INDEX(tx_Category,$J132))</f>
        <v/>
      </c>
      <c r="G132" s="48" t="str">
        <f t="array" ref="G132">IF($J132="","",INDEX(tx_Region,$J132))</f>
        <v/>
      </c>
      <c r="H132" s="50" t="str">
        <f t="array" ref="H132">IF($J132="","",INDEX(tx_Qty,$J132))</f>
        <v/>
      </c>
      <c r="I132" s="51" t="str">
        <f t="array" ref="I132">IF($J132="","",INDEX(tx_Total,$J132))</f>
        <v/>
      </c>
      <c r="J132" s="52" t="str">
        <f t="shared" si="2"/>
        <v/>
      </c>
      <c r="L132" s="53">
        <f t="shared" si="3"/>
        <v>123</v>
      </c>
      <c r="M132" s="53">
        <f t="array" ref="M132">IF(AND(OR($B$3="All",INDEX(tx_Region,L132)=$B$3),OR($B$4="All",INDEX(tx_Category,L132)=$B$4),INDEX(tx_Total,L132)&gt;=$B$5),1,0)</f>
        <v>0</v>
      </c>
      <c r="N132" s="53">
        <f t="shared" si="4"/>
        <v>6</v>
      </c>
    </row>
    <row r="133" ht="15.75" customHeight="1">
      <c r="A133" s="47" t="str">
        <f t="shared" si="1"/>
        <v/>
      </c>
      <c r="B133" s="48" t="str">
        <f t="array" ref="B133">IF($J133="","",INDEX(tx_ID,$J133))</f>
        <v/>
      </c>
      <c r="C133" s="49" t="str">
        <f t="array" ref="C133">IF($J133="","",INDEX(tx_Date,$J133))</f>
        <v/>
      </c>
      <c r="D133" s="48" t="str">
        <f t="array" ref="D133">IF($J133="","",INDEX(tx_CustName,$J133))</f>
        <v/>
      </c>
      <c r="E133" s="48" t="str">
        <f t="array" ref="E133">IF($J133="","",INDEX(tx_Product,$J133))</f>
        <v/>
      </c>
      <c r="F133" s="48" t="str">
        <f t="array" ref="F133">IF($J133="","",INDEX(tx_Category,$J133))</f>
        <v/>
      </c>
      <c r="G133" s="48" t="str">
        <f t="array" ref="G133">IF($J133="","",INDEX(tx_Region,$J133))</f>
        <v/>
      </c>
      <c r="H133" s="50" t="str">
        <f t="array" ref="H133">IF($J133="","",INDEX(tx_Qty,$J133))</f>
        <v/>
      </c>
      <c r="I133" s="51" t="str">
        <f t="array" ref="I133">IF($J133="","",INDEX(tx_Total,$J133))</f>
        <v/>
      </c>
      <c r="J133" s="52" t="str">
        <f t="shared" si="2"/>
        <v/>
      </c>
      <c r="L133" s="53">
        <f t="shared" si="3"/>
        <v>124</v>
      </c>
      <c r="M133" s="53">
        <f t="array" ref="M133">IF(AND(OR($B$3="All",INDEX(tx_Region,L133)=$B$3),OR($B$4="All",INDEX(tx_Category,L133)=$B$4),INDEX(tx_Total,L133)&gt;=$B$5),1,0)</f>
        <v>0</v>
      </c>
      <c r="N133" s="53">
        <f t="shared" si="4"/>
        <v>6</v>
      </c>
    </row>
    <row r="134" ht="15.75" customHeight="1">
      <c r="A134" s="47" t="str">
        <f t="shared" si="1"/>
        <v/>
      </c>
      <c r="B134" s="48" t="str">
        <f t="array" ref="B134">IF($J134="","",INDEX(tx_ID,$J134))</f>
        <v/>
      </c>
      <c r="C134" s="49" t="str">
        <f t="array" ref="C134">IF($J134="","",INDEX(tx_Date,$J134))</f>
        <v/>
      </c>
      <c r="D134" s="48" t="str">
        <f t="array" ref="D134">IF($J134="","",INDEX(tx_CustName,$J134))</f>
        <v/>
      </c>
      <c r="E134" s="48" t="str">
        <f t="array" ref="E134">IF($J134="","",INDEX(tx_Product,$J134))</f>
        <v/>
      </c>
      <c r="F134" s="48" t="str">
        <f t="array" ref="F134">IF($J134="","",INDEX(tx_Category,$J134))</f>
        <v/>
      </c>
      <c r="G134" s="48" t="str">
        <f t="array" ref="G134">IF($J134="","",INDEX(tx_Region,$J134))</f>
        <v/>
      </c>
      <c r="H134" s="50" t="str">
        <f t="array" ref="H134">IF($J134="","",INDEX(tx_Qty,$J134))</f>
        <v/>
      </c>
      <c r="I134" s="51" t="str">
        <f t="array" ref="I134">IF($J134="","",INDEX(tx_Total,$J134))</f>
        <v/>
      </c>
      <c r="J134" s="52" t="str">
        <f t="shared" si="2"/>
        <v/>
      </c>
      <c r="L134" s="53">
        <f t="shared" si="3"/>
        <v>125</v>
      </c>
      <c r="M134" s="53">
        <f t="array" ref="M134">IF(AND(OR($B$3="All",INDEX(tx_Region,L134)=$B$3),OR($B$4="All",INDEX(tx_Category,L134)=$B$4),INDEX(tx_Total,L134)&gt;=$B$5),1,0)</f>
        <v>0</v>
      </c>
      <c r="N134" s="53">
        <f t="shared" si="4"/>
        <v>6</v>
      </c>
    </row>
    <row r="135" ht="15.75" customHeight="1">
      <c r="A135" s="47" t="str">
        <f t="shared" si="1"/>
        <v/>
      </c>
      <c r="B135" s="48" t="str">
        <f t="array" ref="B135">IF($J135="","",INDEX(tx_ID,$J135))</f>
        <v/>
      </c>
      <c r="C135" s="49" t="str">
        <f t="array" ref="C135">IF($J135="","",INDEX(tx_Date,$J135))</f>
        <v/>
      </c>
      <c r="D135" s="48" t="str">
        <f t="array" ref="D135">IF($J135="","",INDEX(tx_CustName,$J135))</f>
        <v/>
      </c>
      <c r="E135" s="48" t="str">
        <f t="array" ref="E135">IF($J135="","",INDEX(tx_Product,$J135))</f>
        <v/>
      </c>
      <c r="F135" s="48" t="str">
        <f t="array" ref="F135">IF($J135="","",INDEX(tx_Category,$J135))</f>
        <v/>
      </c>
      <c r="G135" s="48" t="str">
        <f t="array" ref="G135">IF($J135="","",INDEX(tx_Region,$J135))</f>
        <v/>
      </c>
      <c r="H135" s="50" t="str">
        <f t="array" ref="H135">IF($J135="","",INDEX(tx_Qty,$J135))</f>
        <v/>
      </c>
      <c r="I135" s="51" t="str">
        <f t="array" ref="I135">IF($J135="","",INDEX(tx_Total,$J135))</f>
        <v/>
      </c>
      <c r="J135" s="52" t="str">
        <f t="shared" si="2"/>
        <v/>
      </c>
      <c r="L135" s="53">
        <f t="shared" si="3"/>
        <v>126</v>
      </c>
      <c r="M135" s="53">
        <f t="array" ref="M135">IF(AND(OR($B$3="All",INDEX(tx_Region,L135)=$B$3),OR($B$4="All",INDEX(tx_Category,L135)=$B$4),INDEX(tx_Total,L135)&gt;=$B$5),1,0)</f>
        <v>0</v>
      </c>
      <c r="N135" s="53">
        <f t="shared" si="4"/>
        <v>6</v>
      </c>
    </row>
    <row r="136" ht="15.75" customHeight="1">
      <c r="A136" s="47" t="str">
        <f t="shared" si="1"/>
        <v/>
      </c>
      <c r="B136" s="48" t="str">
        <f t="array" ref="B136">IF($J136="","",INDEX(tx_ID,$J136))</f>
        <v/>
      </c>
      <c r="C136" s="49" t="str">
        <f t="array" ref="C136">IF($J136="","",INDEX(tx_Date,$J136))</f>
        <v/>
      </c>
      <c r="D136" s="48" t="str">
        <f t="array" ref="D136">IF($J136="","",INDEX(tx_CustName,$J136))</f>
        <v/>
      </c>
      <c r="E136" s="48" t="str">
        <f t="array" ref="E136">IF($J136="","",INDEX(tx_Product,$J136))</f>
        <v/>
      </c>
      <c r="F136" s="48" t="str">
        <f t="array" ref="F136">IF($J136="","",INDEX(tx_Category,$J136))</f>
        <v/>
      </c>
      <c r="G136" s="48" t="str">
        <f t="array" ref="G136">IF($J136="","",INDEX(tx_Region,$J136))</f>
        <v/>
      </c>
      <c r="H136" s="50" t="str">
        <f t="array" ref="H136">IF($J136="","",INDEX(tx_Qty,$J136))</f>
        <v/>
      </c>
      <c r="I136" s="51" t="str">
        <f t="array" ref="I136">IF($J136="","",INDEX(tx_Total,$J136))</f>
        <v/>
      </c>
      <c r="J136" s="52" t="str">
        <f t="shared" si="2"/>
        <v/>
      </c>
      <c r="L136" s="53">
        <f t="shared" si="3"/>
        <v>127</v>
      </c>
      <c r="M136" s="53">
        <f t="array" ref="M136">IF(AND(OR($B$3="All",INDEX(tx_Region,L136)=$B$3),OR($B$4="All",INDEX(tx_Category,L136)=$B$4),INDEX(tx_Total,L136)&gt;=$B$5),1,0)</f>
        <v>0</v>
      </c>
      <c r="N136" s="53">
        <f t="shared" si="4"/>
        <v>6</v>
      </c>
    </row>
    <row r="137" ht="15.75" customHeight="1">
      <c r="A137" s="47" t="str">
        <f t="shared" si="1"/>
        <v/>
      </c>
      <c r="B137" s="48" t="str">
        <f t="array" ref="B137">IF($J137="","",INDEX(tx_ID,$J137))</f>
        <v/>
      </c>
      <c r="C137" s="49" t="str">
        <f t="array" ref="C137">IF($J137="","",INDEX(tx_Date,$J137))</f>
        <v/>
      </c>
      <c r="D137" s="48" t="str">
        <f t="array" ref="D137">IF($J137="","",INDEX(tx_CustName,$J137))</f>
        <v/>
      </c>
      <c r="E137" s="48" t="str">
        <f t="array" ref="E137">IF($J137="","",INDEX(tx_Product,$J137))</f>
        <v/>
      </c>
      <c r="F137" s="48" t="str">
        <f t="array" ref="F137">IF($J137="","",INDEX(tx_Category,$J137))</f>
        <v/>
      </c>
      <c r="G137" s="48" t="str">
        <f t="array" ref="G137">IF($J137="","",INDEX(tx_Region,$J137))</f>
        <v/>
      </c>
      <c r="H137" s="50" t="str">
        <f t="array" ref="H137">IF($J137="","",INDEX(tx_Qty,$J137))</f>
        <v/>
      </c>
      <c r="I137" s="51" t="str">
        <f t="array" ref="I137">IF($J137="","",INDEX(tx_Total,$J137))</f>
        <v/>
      </c>
      <c r="J137" s="52" t="str">
        <f t="shared" si="2"/>
        <v/>
      </c>
      <c r="L137" s="53">
        <f t="shared" si="3"/>
        <v>128</v>
      </c>
      <c r="M137" s="53">
        <f t="array" ref="M137">IF(AND(OR($B$3="All",INDEX(tx_Region,L137)=$B$3),OR($B$4="All",INDEX(tx_Category,L137)=$B$4),INDEX(tx_Total,L137)&gt;=$B$5),1,0)</f>
        <v>1</v>
      </c>
      <c r="N137" s="53">
        <f t="shared" si="4"/>
        <v>7</v>
      </c>
    </row>
    <row r="138" ht="15.75" customHeight="1">
      <c r="A138" s="47" t="str">
        <f t="shared" si="1"/>
        <v/>
      </c>
      <c r="B138" s="48" t="str">
        <f t="array" ref="B138">IF($J138="","",INDEX(tx_ID,$J138))</f>
        <v/>
      </c>
      <c r="C138" s="49" t="str">
        <f t="array" ref="C138">IF($J138="","",INDEX(tx_Date,$J138))</f>
        <v/>
      </c>
      <c r="D138" s="48" t="str">
        <f t="array" ref="D138">IF($J138="","",INDEX(tx_CustName,$J138))</f>
        <v/>
      </c>
      <c r="E138" s="48" t="str">
        <f t="array" ref="E138">IF($J138="","",INDEX(tx_Product,$J138))</f>
        <v/>
      </c>
      <c r="F138" s="48" t="str">
        <f t="array" ref="F138">IF($J138="","",INDEX(tx_Category,$J138))</f>
        <v/>
      </c>
      <c r="G138" s="48" t="str">
        <f t="array" ref="G138">IF($J138="","",INDEX(tx_Region,$J138))</f>
        <v/>
      </c>
      <c r="H138" s="50" t="str">
        <f t="array" ref="H138">IF($J138="","",INDEX(tx_Qty,$J138))</f>
        <v/>
      </c>
      <c r="I138" s="51" t="str">
        <f t="array" ref="I138">IF($J138="","",INDEX(tx_Total,$J138))</f>
        <v/>
      </c>
      <c r="J138" s="52" t="str">
        <f t="shared" si="2"/>
        <v/>
      </c>
      <c r="L138" s="53">
        <f t="shared" si="3"/>
        <v>129</v>
      </c>
      <c r="M138" s="53">
        <f t="array" ref="M138">IF(AND(OR($B$3="All",INDEX(tx_Region,L138)=$B$3),OR($B$4="All",INDEX(tx_Category,L138)=$B$4),INDEX(tx_Total,L138)&gt;=$B$5),1,0)</f>
        <v>0</v>
      </c>
      <c r="N138" s="53">
        <f t="shared" si="4"/>
        <v>7</v>
      </c>
    </row>
    <row r="139" ht="15.75" customHeight="1">
      <c r="A139" s="47" t="str">
        <f t="shared" si="1"/>
        <v/>
      </c>
      <c r="B139" s="48" t="str">
        <f t="array" ref="B139">IF($J139="","",INDEX(tx_ID,$J139))</f>
        <v/>
      </c>
      <c r="C139" s="49" t="str">
        <f t="array" ref="C139">IF($J139="","",INDEX(tx_Date,$J139))</f>
        <v/>
      </c>
      <c r="D139" s="48" t="str">
        <f t="array" ref="D139">IF($J139="","",INDEX(tx_CustName,$J139))</f>
        <v/>
      </c>
      <c r="E139" s="48" t="str">
        <f t="array" ref="E139">IF($J139="","",INDEX(tx_Product,$J139))</f>
        <v/>
      </c>
      <c r="F139" s="48" t="str">
        <f t="array" ref="F139">IF($J139="","",INDEX(tx_Category,$J139))</f>
        <v/>
      </c>
      <c r="G139" s="48" t="str">
        <f t="array" ref="G139">IF($J139="","",INDEX(tx_Region,$J139))</f>
        <v/>
      </c>
      <c r="H139" s="50" t="str">
        <f t="array" ref="H139">IF($J139="","",INDEX(tx_Qty,$J139))</f>
        <v/>
      </c>
      <c r="I139" s="51" t="str">
        <f t="array" ref="I139">IF($J139="","",INDEX(tx_Total,$J139))</f>
        <v/>
      </c>
      <c r="J139" s="52" t="str">
        <f t="shared" si="2"/>
        <v/>
      </c>
      <c r="L139" s="53">
        <f t="shared" si="3"/>
        <v>130</v>
      </c>
      <c r="M139" s="53">
        <f t="array" ref="M139">IF(AND(OR($B$3="All",INDEX(tx_Region,L139)=$B$3),OR($B$4="All",INDEX(tx_Category,L139)=$B$4),INDEX(tx_Total,L139)&gt;=$B$5),1,0)</f>
        <v>0</v>
      </c>
      <c r="N139" s="53">
        <f t="shared" si="4"/>
        <v>7</v>
      </c>
    </row>
    <row r="140" ht="15.75" customHeight="1">
      <c r="A140" s="47" t="str">
        <f t="shared" si="1"/>
        <v/>
      </c>
      <c r="B140" s="48" t="str">
        <f t="array" ref="B140">IF($J140="","",INDEX(tx_ID,$J140))</f>
        <v/>
      </c>
      <c r="C140" s="49" t="str">
        <f t="array" ref="C140">IF($J140="","",INDEX(tx_Date,$J140))</f>
        <v/>
      </c>
      <c r="D140" s="48" t="str">
        <f t="array" ref="D140">IF($J140="","",INDEX(tx_CustName,$J140))</f>
        <v/>
      </c>
      <c r="E140" s="48" t="str">
        <f t="array" ref="E140">IF($J140="","",INDEX(tx_Product,$J140))</f>
        <v/>
      </c>
      <c r="F140" s="48" t="str">
        <f t="array" ref="F140">IF($J140="","",INDEX(tx_Category,$J140))</f>
        <v/>
      </c>
      <c r="G140" s="48" t="str">
        <f t="array" ref="G140">IF($J140="","",INDEX(tx_Region,$J140))</f>
        <v/>
      </c>
      <c r="H140" s="50" t="str">
        <f t="array" ref="H140">IF($J140="","",INDEX(tx_Qty,$J140))</f>
        <v/>
      </c>
      <c r="I140" s="51" t="str">
        <f t="array" ref="I140">IF($J140="","",INDEX(tx_Total,$J140))</f>
        <v/>
      </c>
      <c r="J140" s="52" t="str">
        <f t="shared" si="2"/>
        <v/>
      </c>
      <c r="L140" s="53">
        <f t="shared" si="3"/>
        <v>131</v>
      </c>
      <c r="M140" s="53">
        <f t="array" ref="M140">IF(AND(OR($B$3="All",INDEX(tx_Region,L140)=$B$3),OR($B$4="All",INDEX(tx_Category,L140)=$B$4),INDEX(tx_Total,L140)&gt;=$B$5),1,0)</f>
        <v>0</v>
      </c>
      <c r="N140" s="53">
        <f t="shared" si="4"/>
        <v>7</v>
      </c>
    </row>
    <row r="141" ht="15.75" customHeight="1">
      <c r="A141" s="47" t="str">
        <f t="shared" si="1"/>
        <v/>
      </c>
      <c r="B141" s="48" t="str">
        <f t="array" ref="B141">IF($J141="","",INDEX(tx_ID,$J141))</f>
        <v/>
      </c>
      <c r="C141" s="49" t="str">
        <f t="array" ref="C141">IF($J141="","",INDEX(tx_Date,$J141))</f>
        <v/>
      </c>
      <c r="D141" s="48" t="str">
        <f t="array" ref="D141">IF($J141="","",INDEX(tx_CustName,$J141))</f>
        <v/>
      </c>
      <c r="E141" s="48" t="str">
        <f t="array" ref="E141">IF($J141="","",INDEX(tx_Product,$J141))</f>
        <v/>
      </c>
      <c r="F141" s="48" t="str">
        <f t="array" ref="F141">IF($J141="","",INDEX(tx_Category,$J141))</f>
        <v/>
      </c>
      <c r="G141" s="48" t="str">
        <f t="array" ref="G141">IF($J141="","",INDEX(tx_Region,$J141))</f>
        <v/>
      </c>
      <c r="H141" s="50" t="str">
        <f t="array" ref="H141">IF($J141="","",INDEX(tx_Qty,$J141))</f>
        <v/>
      </c>
      <c r="I141" s="51" t="str">
        <f t="array" ref="I141">IF($J141="","",INDEX(tx_Total,$J141))</f>
        <v/>
      </c>
      <c r="J141" s="52" t="str">
        <f t="shared" si="2"/>
        <v/>
      </c>
      <c r="L141" s="53">
        <f t="shared" si="3"/>
        <v>132</v>
      </c>
      <c r="M141" s="53">
        <f t="array" ref="M141">IF(AND(OR($B$3="All",INDEX(tx_Region,L141)=$B$3),OR($B$4="All",INDEX(tx_Category,L141)=$B$4),INDEX(tx_Total,L141)&gt;=$B$5),1,0)</f>
        <v>0</v>
      </c>
      <c r="N141" s="53">
        <f t="shared" si="4"/>
        <v>7</v>
      </c>
    </row>
    <row r="142" ht="15.75" customHeight="1">
      <c r="A142" s="47" t="str">
        <f t="shared" si="1"/>
        <v/>
      </c>
      <c r="B142" s="48" t="str">
        <f t="array" ref="B142">IF($J142="","",INDEX(tx_ID,$J142))</f>
        <v/>
      </c>
      <c r="C142" s="49" t="str">
        <f t="array" ref="C142">IF($J142="","",INDEX(tx_Date,$J142))</f>
        <v/>
      </c>
      <c r="D142" s="48" t="str">
        <f t="array" ref="D142">IF($J142="","",INDEX(tx_CustName,$J142))</f>
        <v/>
      </c>
      <c r="E142" s="48" t="str">
        <f t="array" ref="E142">IF($J142="","",INDEX(tx_Product,$J142))</f>
        <v/>
      </c>
      <c r="F142" s="48" t="str">
        <f t="array" ref="F142">IF($J142="","",INDEX(tx_Category,$J142))</f>
        <v/>
      </c>
      <c r="G142" s="48" t="str">
        <f t="array" ref="G142">IF($J142="","",INDEX(tx_Region,$J142))</f>
        <v/>
      </c>
      <c r="H142" s="50" t="str">
        <f t="array" ref="H142">IF($J142="","",INDEX(tx_Qty,$J142))</f>
        <v/>
      </c>
      <c r="I142" s="51" t="str">
        <f t="array" ref="I142">IF($J142="","",INDEX(tx_Total,$J142))</f>
        <v/>
      </c>
      <c r="J142" s="52" t="str">
        <f t="shared" si="2"/>
        <v/>
      </c>
      <c r="L142" s="53">
        <f t="shared" si="3"/>
        <v>133</v>
      </c>
      <c r="M142" s="53">
        <f t="array" ref="M142">IF(AND(OR($B$3="All",INDEX(tx_Region,L142)=$B$3),OR($B$4="All",INDEX(tx_Category,L142)=$B$4),INDEX(tx_Total,L142)&gt;=$B$5),1,0)</f>
        <v>0</v>
      </c>
      <c r="N142" s="53">
        <f t="shared" si="4"/>
        <v>7</v>
      </c>
    </row>
    <row r="143" ht="15.75" customHeight="1">
      <c r="A143" s="47" t="str">
        <f t="shared" si="1"/>
        <v/>
      </c>
      <c r="B143" s="48" t="str">
        <f t="array" ref="B143">IF($J143="","",INDEX(tx_ID,$J143))</f>
        <v/>
      </c>
      <c r="C143" s="49" t="str">
        <f t="array" ref="C143">IF($J143="","",INDEX(tx_Date,$J143))</f>
        <v/>
      </c>
      <c r="D143" s="48" t="str">
        <f t="array" ref="D143">IF($J143="","",INDEX(tx_CustName,$J143))</f>
        <v/>
      </c>
      <c r="E143" s="48" t="str">
        <f t="array" ref="E143">IF($J143="","",INDEX(tx_Product,$J143))</f>
        <v/>
      </c>
      <c r="F143" s="48" t="str">
        <f t="array" ref="F143">IF($J143="","",INDEX(tx_Category,$J143))</f>
        <v/>
      </c>
      <c r="G143" s="48" t="str">
        <f t="array" ref="G143">IF($J143="","",INDEX(tx_Region,$J143))</f>
        <v/>
      </c>
      <c r="H143" s="50" t="str">
        <f t="array" ref="H143">IF($J143="","",INDEX(tx_Qty,$J143))</f>
        <v/>
      </c>
      <c r="I143" s="51" t="str">
        <f t="array" ref="I143">IF($J143="","",INDEX(tx_Total,$J143))</f>
        <v/>
      </c>
      <c r="J143" s="52" t="str">
        <f t="shared" si="2"/>
        <v/>
      </c>
      <c r="L143" s="53">
        <f t="shared" si="3"/>
        <v>134</v>
      </c>
      <c r="M143" s="53">
        <f t="array" ref="M143">IF(AND(OR($B$3="All",INDEX(tx_Region,L143)=$B$3),OR($B$4="All",INDEX(tx_Category,L143)=$B$4),INDEX(tx_Total,L143)&gt;=$B$5),1,0)</f>
        <v>0</v>
      </c>
      <c r="N143" s="53">
        <f t="shared" si="4"/>
        <v>7</v>
      </c>
    </row>
    <row r="144" ht="15.75" customHeight="1">
      <c r="A144" s="47" t="str">
        <f t="shared" si="1"/>
        <v/>
      </c>
      <c r="B144" s="48" t="str">
        <f t="array" ref="B144">IF($J144="","",INDEX(tx_ID,$J144))</f>
        <v/>
      </c>
      <c r="C144" s="49" t="str">
        <f t="array" ref="C144">IF($J144="","",INDEX(tx_Date,$J144))</f>
        <v/>
      </c>
      <c r="D144" s="48" t="str">
        <f t="array" ref="D144">IF($J144="","",INDEX(tx_CustName,$J144))</f>
        <v/>
      </c>
      <c r="E144" s="48" t="str">
        <f t="array" ref="E144">IF($J144="","",INDEX(tx_Product,$J144))</f>
        <v/>
      </c>
      <c r="F144" s="48" t="str">
        <f t="array" ref="F144">IF($J144="","",INDEX(tx_Category,$J144))</f>
        <v/>
      </c>
      <c r="G144" s="48" t="str">
        <f t="array" ref="G144">IF($J144="","",INDEX(tx_Region,$J144))</f>
        <v/>
      </c>
      <c r="H144" s="50" t="str">
        <f t="array" ref="H144">IF($J144="","",INDEX(tx_Qty,$J144))</f>
        <v/>
      </c>
      <c r="I144" s="51" t="str">
        <f t="array" ref="I144">IF($J144="","",INDEX(tx_Total,$J144))</f>
        <v/>
      </c>
      <c r="J144" s="52" t="str">
        <f t="shared" si="2"/>
        <v/>
      </c>
      <c r="L144" s="53">
        <f t="shared" si="3"/>
        <v>135</v>
      </c>
      <c r="M144" s="53">
        <f t="array" ref="M144">IF(AND(OR($B$3="All",INDEX(tx_Region,L144)=$B$3),OR($B$4="All",INDEX(tx_Category,L144)=$B$4),INDEX(tx_Total,L144)&gt;=$B$5),1,0)</f>
        <v>0</v>
      </c>
      <c r="N144" s="53">
        <f t="shared" si="4"/>
        <v>7</v>
      </c>
    </row>
    <row r="145" ht="15.75" customHeight="1">
      <c r="A145" s="47" t="str">
        <f t="shared" si="1"/>
        <v/>
      </c>
      <c r="B145" s="48" t="str">
        <f t="array" ref="B145">IF($J145="","",INDEX(tx_ID,$J145))</f>
        <v/>
      </c>
      <c r="C145" s="49" t="str">
        <f t="array" ref="C145">IF($J145="","",INDEX(tx_Date,$J145))</f>
        <v/>
      </c>
      <c r="D145" s="48" t="str">
        <f t="array" ref="D145">IF($J145="","",INDEX(tx_CustName,$J145))</f>
        <v/>
      </c>
      <c r="E145" s="48" t="str">
        <f t="array" ref="E145">IF($J145="","",INDEX(tx_Product,$J145))</f>
        <v/>
      </c>
      <c r="F145" s="48" t="str">
        <f t="array" ref="F145">IF($J145="","",INDEX(tx_Category,$J145))</f>
        <v/>
      </c>
      <c r="G145" s="48" t="str">
        <f t="array" ref="G145">IF($J145="","",INDEX(tx_Region,$J145))</f>
        <v/>
      </c>
      <c r="H145" s="50" t="str">
        <f t="array" ref="H145">IF($J145="","",INDEX(tx_Qty,$J145))</f>
        <v/>
      </c>
      <c r="I145" s="51" t="str">
        <f t="array" ref="I145">IF($J145="","",INDEX(tx_Total,$J145))</f>
        <v/>
      </c>
      <c r="J145" s="52" t="str">
        <f t="shared" si="2"/>
        <v/>
      </c>
      <c r="L145" s="53">
        <f t="shared" si="3"/>
        <v>136</v>
      </c>
      <c r="M145" s="53">
        <f t="array" ref="M145">IF(AND(OR($B$3="All",INDEX(tx_Region,L145)=$B$3),OR($B$4="All",INDEX(tx_Category,L145)=$B$4),INDEX(tx_Total,L145)&gt;=$B$5),1,0)</f>
        <v>0</v>
      </c>
      <c r="N145" s="53">
        <f t="shared" si="4"/>
        <v>7</v>
      </c>
    </row>
    <row r="146" ht="15.75" customHeight="1">
      <c r="A146" s="47" t="str">
        <f t="shared" si="1"/>
        <v/>
      </c>
      <c r="B146" s="48" t="str">
        <f t="array" ref="B146">IF($J146="","",INDEX(tx_ID,$J146))</f>
        <v/>
      </c>
      <c r="C146" s="49" t="str">
        <f t="array" ref="C146">IF($J146="","",INDEX(tx_Date,$J146))</f>
        <v/>
      </c>
      <c r="D146" s="48" t="str">
        <f t="array" ref="D146">IF($J146="","",INDEX(tx_CustName,$J146))</f>
        <v/>
      </c>
      <c r="E146" s="48" t="str">
        <f t="array" ref="E146">IF($J146="","",INDEX(tx_Product,$J146))</f>
        <v/>
      </c>
      <c r="F146" s="48" t="str">
        <f t="array" ref="F146">IF($J146="","",INDEX(tx_Category,$J146))</f>
        <v/>
      </c>
      <c r="G146" s="48" t="str">
        <f t="array" ref="G146">IF($J146="","",INDEX(tx_Region,$J146))</f>
        <v/>
      </c>
      <c r="H146" s="50" t="str">
        <f t="array" ref="H146">IF($J146="","",INDEX(tx_Qty,$J146))</f>
        <v/>
      </c>
      <c r="I146" s="51" t="str">
        <f t="array" ref="I146">IF($J146="","",INDEX(tx_Total,$J146))</f>
        <v/>
      </c>
      <c r="J146" s="52" t="str">
        <f t="shared" si="2"/>
        <v/>
      </c>
      <c r="L146" s="53">
        <f t="shared" si="3"/>
        <v>137</v>
      </c>
      <c r="M146" s="53">
        <f t="array" ref="M146">IF(AND(OR($B$3="All",INDEX(tx_Region,L146)=$B$3),OR($B$4="All",INDEX(tx_Category,L146)=$B$4),INDEX(tx_Total,L146)&gt;=$B$5),1,0)</f>
        <v>0</v>
      </c>
      <c r="N146" s="53">
        <f t="shared" si="4"/>
        <v>7</v>
      </c>
    </row>
    <row r="147" ht="15.75" customHeight="1">
      <c r="A147" s="47" t="str">
        <f t="shared" si="1"/>
        <v/>
      </c>
      <c r="B147" s="48" t="str">
        <f t="array" ref="B147">IF($J147="","",INDEX(tx_ID,$J147))</f>
        <v/>
      </c>
      <c r="C147" s="49" t="str">
        <f t="array" ref="C147">IF($J147="","",INDEX(tx_Date,$J147))</f>
        <v/>
      </c>
      <c r="D147" s="48" t="str">
        <f t="array" ref="D147">IF($J147="","",INDEX(tx_CustName,$J147))</f>
        <v/>
      </c>
      <c r="E147" s="48" t="str">
        <f t="array" ref="E147">IF($J147="","",INDEX(tx_Product,$J147))</f>
        <v/>
      </c>
      <c r="F147" s="48" t="str">
        <f t="array" ref="F147">IF($J147="","",INDEX(tx_Category,$J147))</f>
        <v/>
      </c>
      <c r="G147" s="48" t="str">
        <f t="array" ref="G147">IF($J147="","",INDEX(tx_Region,$J147))</f>
        <v/>
      </c>
      <c r="H147" s="50" t="str">
        <f t="array" ref="H147">IF($J147="","",INDEX(tx_Qty,$J147))</f>
        <v/>
      </c>
      <c r="I147" s="51" t="str">
        <f t="array" ref="I147">IF($J147="","",INDEX(tx_Total,$J147))</f>
        <v/>
      </c>
      <c r="J147" s="52" t="str">
        <f t="shared" si="2"/>
        <v/>
      </c>
      <c r="L147" s="53">
        <f t="shared" si="3"/>
        <v>138</v>
      </c>
      <c r="M147" s="53">
        <f t="array" ref="M147">IF(AND(OR($B$3="All",INDEX(tx_Region,L147)=$B$3),OR($B$4="All",INDEX(tx_Category,L147)=$B$4),INDEX(tx_Total,L147)&gt;=$B$5),1,0)</f>
        <v>0</v>
      </c>
      <c r="N147" s="53">
        <f t="shared" si="4"/>
        <v>7</v>
      </c>
    </row>
    <row r="148" ht="15.75" customHeight="1">
      <c r="A148" s="47" t="str">
        <f t="shared" si="1"/>
        <v/>
      </c>
      <c r="B148" s="48" t="str">
        <f t="array" ref="B148">IF($J148="","",INDEX(tx_ID,$J148))</f>
        <v/>
      </c>
      <c r="C148" s="49" t="str">
        <f t="array" ref="C148">IF($J148="","",INDEX(tx_Date,$J148))</f>
        <v/>
      </c>
      <c r="D148" s="48" t="str">
        <f t="array" ref="D148">IF($J148="","",INDEX(tx_CustName,$J148))</f>
        <v/>
      </c>
      <c r="E148" s="48" t="str">
        <f t="array" ref="E148">IF($J148="","",INDEX(tx_Product,$J148))</f>
        <v/>
      </c>
      <c r="F148" s="48" t="str">
        <f t="array" ref="F148">IF($J148="","",INDEX(tx_Category,$J148))</f>
        <v/>
      </c>
      <c r="G148" s="48" t="str">
        <f t="array" ref="G148">IF($J148="","",INDEX(tx_Region,$J148))</f>
        <v/>
      </c>
      <c r="H148" s="50" t="str">
        <f t="array" ref="H148">IF($J148="","",INDEX(tx_Qty,$J148))</f>
        <v/>
      </c>
      <c r="I148" s="51" t="str">
        <f t="array" ref="I148">IF($J148="","",INDEX(tx_Total,$J148))</f>
        <v/>
      </c>
      <c r="J148" s="52" t="str">
        <f t="shared" si="2"/>
        <v/>
      </c>
      <c r="L148" s="53">
        <f t="shared" si="3"/>
        <v>139</v>
      </c>
      <c r="M148" s="53">
        <f t="array" ref="M148">IF(AND(OR($B$3="All",INDEX(tx_Region,L148)=$B$3),OR($B$4="All",INDEX(tx_Category,L148)=$B$4),INDEX(tx_Total,L148)&gt;=$B$5),1,0)</f>
        <v>0</v>
      </c>
      <c r="N148" s="53">
        <f t="shared" si="4"/>
        <v>7</v>
      </c>
    </row>
    <row r="149" ht="15.75" customHeight="1">
      <c r="A149" s="47" t="str">
        <f t="shared" si="1"/>
        <v/>
      </c>
      <c r="B149" s="48" t="str">
        <f t="array" ref="B149">IF($J149="","",INDEX(tx_ID,$J149))</f>
        <v/>
      </c>
      <c r="C149" s="49" t="str">
        <f t="array" ref="C149">IF($J149="","",INDEX(tx_Date,$J149))</f>
        <v/>
      </c>
      <c r="D149" s="48" t="str">
        <f t="array" ref="D149">IF($J149="","",INDEX(tx_CustName,$J149))</f>
        <v/>
      </c>
      <c r="E149" s="48" t="str">
        <f t="array" ref="E149">IF($J149="","",INDEX(tx_Product,$J149))</f>
        <v/>
      </c>
      <c r="F149" s="48" t="str">
        <f t="array" ref="F149">IF($J149="","",INDEX(tx_Category,$J149))</f>
        <v/>
      </c>
      <c r="G149" s="48" t="str">
        <f t="array" ref="G149">IF($J149="","",INDEX(tx_Region,$J149))</f>
        <v/>
      </c>
      <c r="H149" s="50" t="str">
        <f t="array" ref="H149">IF($J149="","",INDEX(tx_Qty,$J149))</f>
        <v/>
      </c>
      <c r="I149" s="51" t="str">
        <f t="array" ref="I149">IF($J149="","",INDEX(tx_Total,$J149))</f>
        <v/>
      </c>
      <c r="J149" s="52" t="str">
        <f t="shared" si="2"/>
        <v/>
      </c>
      <c r="L149" s="53">
        <f t="shared" si="3"/>
        <v>140</v>
      </c>
      <c r="M149" s="53">
        <f t="array" ref="M149">IF(AND(OR($B$3="All",INDEX(tx_Region,L149)=$B$3),OR($B$4="All",INDEX(tx_Category,L149)=$B$4),INDEX(tx_Total,L149)&gt;=$B$5),1,0)</f>
        <v>0</v>
      </c>
      <c r="N149" s="53">
        <f t="shared" si="4"/>
        <v>7</v>
      </c>
    </row>
    <row r="150" ht="15.75" customHeight="1">
      <c r="A150" s="47" t="str">
        <f t="shared" si="1"/>
        <v/>
      </c>
      <c r="B150" s="48" t="str">
        <f t="array" ref="B150">IF($J150="","",INDEX(tx_ID,$J150))</f>
        <v/>
      </c>
      <c r="C150" s="49" t="str">
        <f t="array" ref="C150">IF($J150="","",INDEX(tx_Date,$J150))</f>
        <v/>
      </c>
      <c r="D150" s="48" t="str">
        <f t="array" ref="D150">IF($J150="","",INDEX(tx_CustName,$J150))</f>
        <v/>
      </c>
      <c r="E150" s="48" t="str">
        <f t="array" ref="E150">IF($J150="","",INDEX(tx_Product,$J150))</f>
        <v/>
      </c>
      <c r="F150" s="48" t="str">
        <f t="array" ref="F150">IF($J150="","",INDEX(tx_Category,$J150))</f>
        <v/>
      </c>
      <c r="G150" s="48" t="str">
        <f t="array" ref="G150">IF($J150="","",INDEX(tx_Region,$J150))</f>
        <v/>
      </c>
      <c r="H150" s="50" t="str">
        <f t="array" ref="H150">IF($J150="","",INDEX(tx_Qty,$J150))</f>
        <v/>
      </c>
      <c r="I150" s="51" t="str">
        <f t="array" ref="I150">IF($J150="","",INDEX(tx_Total,$J150))</f>
        <v/>
      </c>
      <c r="J150" s="52" t="str">
        <f t="shared" si="2"/>
        <v/>
      </c>
      <c r="L150" s="53">
        <f t="shared" si="3"/>
        <v>141</v>
      </c>
      <c r="M150" s="53">
        <f t="array" ref="M150">IF(AND(OR($B$3="All",INDEX(tx_Region,L150)=$B$3),OR($B$4="All",INDEX(tx_Category,L150)=$B$4),INDEX(tx_Total,L150)&gt;=$B$5),1,0)</f>
        <v>0</v>
      </c>
      <c r="N150" s="53">
        <f t="shared" si="4"/>
        <v>7</v>
      </c>
    </row>
    <row r="151" ht="15.75" customHeight="1">
      <c r="A151" s="47" t="str">
        <f t="shared" si="1"/>
        <v/>
      </c>
      <c r="B151" s="48" t="str">
        <f t="array" ref="B151">IF($J151="","",INDEX(tx_ID,$J151))</f>
        <v/>
      </c>
      <c r="C151" s="49" t="str">
        <f t="array" ref="C151">IF($J151="","",INDEX(tx_Date,$J151))</f>
        <v/>
      </c>
      <c r="D151" s="48" t="str">
        <f t="array" ref="D151">IF($J151="","",INDEX(tx_CustName,$J151))</f>
        <v/>
      </c>
      <c r="E151" s="48" t="str">
        <f t="array" ref="E151">IF($J151="","",INDEX(tx_Product,$J151))</f>
        <v/>
      </c>
      <c r="F151" s="48" t="str">
        <f t="array" ref="F151">IF($J151="","",INDEX(tx_Category,$J151))</f>
        <v/>
      </c>
      <c r="G151" s="48" t="str">
        <f t="array" ref="G151">IF($J151="","",INDEX(tx_Region,$J151))</f>
        <v/>
      </c>
      <c r="H151" s="50" t="str">
        <f t="array" ref="H151">IF($J151="","",INDEX(tx_Qty,$J151))</f>
        <v/>
      </c>
      <c r="I151" s="51" t="str">
        <f t="array" ref="I151">IF($J151="","",INDEX(tx_Total,$J151))</f>
        <v/>
      </c>
      <c r="J151" s="52" t="str">
        <f t="shared" si="2"/>
        <v/>
      </c>
      <c r="L151" s="53">
        <f t="shared" si="3"/>
        <v>142</v>
      </c>
      <c r="M151" s="53">
        <f t="array" ref="M151">IF(AND(OR($B$3="All",INDEX(tx_Region,L151)=$B$3),OR($B$4="All",INDEX(tx_Category,L151)=$B$4),INDEX(tx_Total,L151)&gt;=$B$5),1,0)</f>
        <v>0</v>
      </c>
      <c r="N151" s="53">
        <f t="shared" si="4"/>
        <v>7</v>
      </c>
    </row>
    <row r="152" ht="15.75" customHeight="1">
      <c r="A152" s="47" t="str">
        <f t="shared" si="1"/>
        <v/>
      </c>
      <c r="B152" s="48" t="str">
        <f t="array" ref="B152">IF($J152="","",INDEX(tx_ID,$J152))</f>
        <v/>
      </c>
      <c r="C152" s="49" t="str">
        <f t="array" ref="C152">IF($J152="","",INDEX(tx_Date,$J152))</f>
        <v/>
      </c>
      <c r="D152" s="48" t="str">
        <f t="array" ref="D152">IF($J152="","",INDEX(tx_CustName,$J152))</f>
        <v/>
      </c>
      <c r="E152" s="48" t="str">
        <f t="array" ref="E152">IF($J152="","",INDEX(tx_Product,$J152))</f>
        <v/>
      </c>
      <c r="F152" s="48" t="str">
        <f t="array" ref="F152">IF($J152="","",INDEX(tx_Category,$J152))</f>
        <v/>
      </c>
      <c r="G152" s="48" t="str">
        <f t="array" ref="G152">IF($J152="","",INDEX(tx_Region,$J152))</f>
        <v/>
      </c>
      <c r="H152" s="50" t="str">
        <f t="array" ref="H152">IF($J152="","",INDEX(tx_Qty,$J152))</f>
        <v/>
      </c>
      <c r="I152" s="51" t="str">
        <f t="array" ref="I152">IF($J152="","",INDEX(tx_Total,$J152))</f>
        <v/>
      </c>
      <c r="J152" s="52" t="str">
        <f t="shared" si="2"/>
        <v/>
      </c>
      <c r="L152" s="53">
        <f t="shared" si="3"/>
        <v>143</v>
      </c>
      <c r="M152" s="53">
        <f t="array" ref="M152">IF(AND(OR($B$3="All",INDEX(tx_Region,L152)=$B$3),OR($B$4="All",INDEX(tx_Category,L152)=$B$4),INDEX(tx_Total,L152)&gt;=$B$5),1,0)</f>
        <v>0</v>
      </c>
      <c r="N152" s="53">
        <f t="shared" si="4"/>
        <v>7</v>
      </c>
    </row>
    <row r="153" ht="15.75" customHeight="1">
      <c r="A153" s="47" t="str">
        <f t="shared" si="1"/>
        <v/>
      </c>
      <c r="B153" s="48" t="str">
        <f t="array" ref="B153">IF($J153="","",INDEX(tx_ID,$J153))</f>
        <v/>
      </c>
      <c r="C153" s="49" t="str">
        <f t="array" ref="C153">IF($J153="","",INDEX(tx_Date,$J153))</f>
        <v/>
      </c>
      <c r="D153" s="48" t="str">
        <f t="array" ref="D153">IF($J153="","",INDEX(tx_CustName,$J153))</f>
        <v/>
      </c>
      <c r="E153" s="48" t="str">
        <f t="array" ref="E153">IF($J153="","",INDEX(tx_Product,$J153))</f>
        <v/>
      </c>
      <c r="F153" s="48" t="str">
        <f t="array" ref="F153">IF($J153="","",INDEX(tx_Category,$J153))</f>
        <v/>
      </c>
      <c r="G153" s="48" t="str">
        <f t="array" ref="G153">IF($J153="","",INDEX(tx_Region,$J153))</f>
        <v/>
      </c>
      <c r="H153" s="50" t="str">
        <f t="array" ref="H153">IF($J153="","",INDEX(tx_Qty,$J153))</f>
        <v/>
      </c>
      <c r="I153" s="51" t="str">
        <f t="array" ref="I153">IF($J153="","",INDEX(tx_Total,$J153))</f>
        <v/>
      </c>
      <c r="J153" s="52" t="str">
        <f t="shared" si="2"/>
        <v/>
      </c>
      <c r="L153" s="53">
        <f t="shared" si="3"/>
        <v>144</v>
      </c>
      <c r="M153" s="53">
        <f t="array" ref="M153">IF(AND(OR($B$3="All",INDEX(tx_Region,L153)=$B$3),OR($B$4="All",INDEX(tx_Category,L153)=$B$4),INDEX(tx_Total,L153)&gt;=$B$5),1,0)</f>
        <v>0</v>
      </c>
      <c r="N153" s="53">
        <f t="shared" si="4"/>
        <v>7</v>
      </c>
    </row>
    <row r="154" ht="15.75" customHeight="1">
      <c r="A154" s="47" t="str">
        <f t="shared" si="1"/>
        <v/>
      </c>
      <c r="B154" s="48" t="str">
        <f t="array" ref="B154">IF($J154="","",INDEX(tx_ID,$J154))</f>
        <v/>
      </c>
      <c r="C154" s="49" t="str">
        <f t="array" ref="C154">IF($J154="","",INDEX(tx_Date,$J154))</f>
        <v/>
      </c>
      <c r="D154" s="48" t="str">
        <f t="array" ref="D154">IF($J154="","",INDEX(tx_CustName,$J154))</f>
        <v/>
      </c>
      <c r="E154" s="48" t="str">
        <f t="array" ref="E154">IF($J154="","",INDEX(tx_Product,$J154))</f>
        <v/>
      </c>
      <c r="F154" s="48" t="str">
        <f t="array" ref="F154">IF($J154="","",INDEX(tx_Category,$J154))</f>
        <v/>
      </c>
      <c r="G154" s="48" t="str">
        <f t="array" ref="G154">IF($J154="","",INDEX(tx_Region,$J154))</f>
        <v/>
      </c>
      <c r="H154" s="50" t="str">
        <f t="array" ref="H154">IF($J154="","",INDEX(tx_Qty,$J154))</f>
        <v/>
      </c>
      <c r="I154" s="51" t="str">
        <f t="array" ref="I154">IF($J154="","",INDEX(tx_Total,$J154))</f>
        <v/>
      </c>
      <c r="J154" s="52" t="str">
        <f t="shared" si="2"/>
        <v/>
      </c>
      <c r="L154" s="53">
        <f t="shared" si="3"/>
        <v>145</v>
      </c>
      <c r="M154" s="53">
        <f t="array" ref="M154">IF(AND(OR($B$3="All",INDEX(tx_Region,L154)=$B$3),OR($B$4="All",INDEX(tx_Category,L154)=$B$4),INDEX(tx_Total,L154)&gt;=$B$5),1,0)</f>
        <v>0</v>
      </c>
      <c r="N154" s="53">
        <f t="shared" si="4"/>
        <v>7</v>
      </c>
    </row>
    <row r="155" ht="15.75" customHeight="1">
      <c r="A155" s="47" t="str">
        <f t="shared" si="1"/>
        <v/>
      </c>
      <c r="B155" s="48" t="str">
        <f t="array" ref="B155">IF($J155="","",INDEX(tx_ID,$J155))</f>
        <v/>
      </c>
      <c r="C155" s="49" t="str">
        <f t="array" ref="C155">IF($J155="","",INDEX(tx_Date,$J155))</f>
        <v/>
      </c>
      <c r="D155" s="48" t="str">
        <f t="array" ref="D155">IF($J155="","",INDEX(tx_CustName,$J155))</f>
        <v/>
      </c>
      <c r="E155" s="48" t="str">
        <f t="array" ref="E155">IF($J155="","",INDEX(tx_Product,$J155))</f>
        <v/>
      </c>
      <c r="F155" s="48" t="str">
        <f t="array" ref="F155">IF($J155="","",INDEX(tx_Category,$J155))</f>
        <v/>
      </c>
      <c r="G155" s="48" t="str">
        <f t="array" ref="G155">IF($J155="","",INDEX(tx_Region,$J155))</f>
        <v/>
      </c>
      <c r="H155" s="50" t="str">
        <f t="array" ref="H155">IF($J155="","",INDEX(tx_Qty,$J155))</f>
        <v/>
      </c>
      <c r="I155" s="51" t="str">
        <f t="array" ref="I155">IF($J155="","",INDEX(tx_Total,$J155))</f>
        <v/>
      </c>
      <c r="J155" s="52" t="str">
        <f t="shared" si="2"/>
        <v/>
      </c>
      <c r="L155" s="53">
        <f t="shared" si="3"/>
        <v>146</v>
      </c>
      <c r="M155" s="53">
        <f t="array" ref="M155">IF(AND(OR($B$3="All",INDEX(tx_Region,L155)=$B$3),OR($B$4="All",INDEX(tx_Category,L155)=$B$4),INDEX(tx_Total,L155)&gt;=$B$5),1,0)</f>
        <v>0</v>
      </c>
      <c r="N155" s="53">
        <f t="shared" si="4"/>
        <v>7</v>
      </c>
    </row>
    <row r="156" ht="15.75" customHeight="1">
      <c r="A156" s="47" t="str">
        <f t="shared" si="1"/>
        <v/>
      </c>
      <c r="B156" s="48" t="str">
        <f t="array" ref="B156">IF($J156="","",INDEX(tx_ID,$J156))</f>
        <v/>
      </c>
      <c r="C156" s="49" t="str">
        <f t="array" ref="C156">IF($J156="","",INDEX(tx_Date,$J156))</f>
        <v/>
      </c>
      <c r="D156" s="48" t="str">
        <f t="array" ref="D156">IF($J156="","",INDEX(tx_CustName,$J156))</f>
        <v/>
      </c>
      <c r="E156" s="48" t="str">
        <f t="array" ref="E156">IF($J156="","",INDEX(tx_Product,$J156))</f>
        <v/>
      </c>
      <c r="F156" s="48" t="str">
        <f t="array" ref="F156">IF($J156="","",INDEX(tx_Category,$J156))</f>
        <v/>
      </c>
      <c r="G156" s="48" t="str">
        <f t="array" ref="G156">IF($J156="","",INDEX(tx_Region,$J156))</f>
        <v/>
      </c>
      <c r="H156" s="50" t="str">
        <f t="array" ref="H156">IF($J156="","",INDEX(tx_Qty,$J156))</f>
        <v/>
      </c>
      <c r="I156" s="51" t="str">
        <f t="array" ref="I156">IF($J156="","",INDEX(tx_Total,$J156))</f>
        <v/>
      </c>
      <c r="J156" s="52" t="str">
        <f t="shared" si="2"/>
        <v/>
      </c>
      <c r="L156" s="53">
        <f t="shared" si="3"/>
        <v>147</v>
      </c>
      <c r="M156" s="53">
        <f t="array" ref="M156">IF(AND(OR($B$3="All",INDEX(tx_Region,L156)=$B$3),OR($B$4="All",INDEX(tx_Category,L156)=$B$4),INDEX(tx_Total,L156)&gt;=$B$5),1,0)</f>
        <v>0</v>
      </c>
      <c r="N156" s="53">
        <f t="shared" si="4"/>
        <v>7</v>
      </c>
    </row>
    <row r="157" ht="15.75" customHeight="1">
      <c r="A157" s="47" t="str">
        <f t="shared" si="1"/>
        <v/>
      </c>
      <c r="B157" s="48" t="str">
        <f t="array" ref="B157">IF($J157="","",INDEX(tx_ID,$J157))</f>
        <v/>
      </c>
      <c r="C157" s="49" t="str">
        <f t="array" ref="C157">IF($J157="","",INDEX(tx_Date,$J157))</f>
        <v/>
      </c>
      <c r="D157" s="48" t="str">
        <f t="array" ref="D157">IF($J157="","",INDEX(tx_CustName,$J157))</f>
        <v/>
      </c>
      <c r="E157" s="48" t="str">
        <f t="array" ref="E157">IF($J157="","",INDEX(tx_Product,$J157))</f>
        <v/>
      </c>
      <c r="F157" s="48" t="str">
        <f t="array" ref="F157">IF($J157="","",INDEX(tx_Category,$J157))</f>
        <v/>
      </c>
      <c r="G157" s="48" t="str">
        <f t="array" ref="G157">IF($J157="","",INDEX(tx_Region,$J157))</f>
        <v/>
      </c>
      <c r="H157" s="50" t="str">
        <f t="array" ref="H157">IF($J157="","",INDEX(tx_Qty,$J157))</f>
        <v/>
      </c>
      <c r="I157" s="51" t="str">
        <f t="array" ref="I157">IF($J157="","",INDEX(tx_Total,$J157))</f>
        <v/>
      </c>
      <c r="J157" s="52" t="str">
        <f t="shared" si="2"/>
        <v/>
      </c>
      <c r="L157" s="53">
        <f t="shared" si="3"/>
        <v>148</v>
      </c>
      <c r="M157" s="53">
        <f t="array" ref="M157">IF(AND(OR($B$3="All",INDEX(tx_Region,L157)=$B$3),OR($B$4="All",INDEX(tx_Category,L157)=$B$4),INDEX(tx_Total,L157)&gt;=$B$5),1,0)</f>
        <v>0</v>
      </c>
      <c r="N157" s="53">
        <f t="shared" si="4"/>
        <v>7</v>
      </c>
    </row>
    <row r="158" ht="15.75" customHeight="1">
      <c r="A158" s="47" t="str">
        <f t="shared" si="1"/>
        <v/>
      </c>
      <c r="B158" s="48" t="str">
        <f t="array" ref="B158">IF($J158="","",INDEX(tx_ID,$J158))</f>
        <v/>
      </c>
      <c r="C158" s="49" t="str">
        <f t="array" ref="C158">IF($J158="","",INDEX(tx_Date,$J158))</f>
        <v/>
      </c>
      <c r="D158" s="48" t="str">
        <f t="array" ref="D158">IF($J158="","",INDEX(tx_CustName,$J158))</f>
        <v/>
      </c>
      <c r="E158" s="48" t="str">
        <f t="array" ref="E158">IF($J158="","",INDEX(tx_Product,$J158))</f>
        <v/>
      </c>
      <c r="F158" s="48" t="str">
        <f t="array" ref="F158">IF($J158="","",INDEX(tx_Category,$J158))</f>
        <v/>
      </c>
      <c r="G158" s="48" t="str">
        <f t="array" ref="G158">IF($J158="","",INDEX(tx_Region,$J158))</f>
        <v/>
      </c>
      <c r="H158" s="50" t="str">
        <f t="array" ref="H158">IF($J158="","",INDEX(tx_Qty,$J158))</f>
        <v/>
      </c>
      <c r="I158" s="51" t="str">
        <f t="array" ref="I158">IF($J158="","",INDEX(tx_Total,$J158))</f>
        <v/>
      </c>
      <c r="J158" s="52" t="str">
        <f t="shared" si="2"/>
        <v/>
      </c>
      <c r="L158" s="53">
        <f t="shared" si="3"/>
        <v>149</v>
      </c>
      <c r="M158" s="53">
        <f t="array" ref="M158">IF(AND(OR($B$3="All",INDEX(tx_Region,L158)=$B$3),OR($B$4="All",INDEX(tx_Category,L158)=$B$4),INDEX(tx_Total,L158)&gt;=$B$5),1,0)</f>
        <v>0</v>
      </c>
      <c r="N158" s="53">
        <f t="shared" si="4"/>
        <v>7</v>
      </c>
    </row>
    <row r="159" ht="15.75" customHeight="1">
      <c r="A159" s="47" t="str">
        <f t="shared" si="1"/>
        <v/>
      </c>
      <c r="B159" s="48" t="str">
        <f t="array" ref="B159">IF($J159="","",INDEX(tx_ID,$J159))</f>
        <v/>
      </c>
      <c r="C159" s="49" t="str">
        <f t="array" ref="C159">IF($J159="","",INDEX(tx_Date,$J159))</f>
        <v/>
      </c>
      <c r="D159" s="48" t="str">
        <f t="array" ref="D159">IF($J159="","",INDEX(tx_CustName,$J159))</f>
        <v/>
      </c>
      <c r="E159" s="48" t="str">
        <f t="array" ref="E159">IF($J159="","",INDEX(tx_Product,$J159))</f>
        <v/>
      </c>
      <c r="F159" s="48" t="str">
        <f t="array" ref="F159">IF($J159="","",INDEX(tx_Category,$J159))</f>
        <v/>
      </c>
      <c r="G159" s="48" t="str">
        <f t="array" ref="G159">IF($J159="","",INDEX(tx_Region,$J159))</f>
        <v/>
      </c>
      <c r="H159" s="50" t="str">
        <f t="array" ref="H159">IF($J159="","",INDEX(tx_Qty,$J159))</f>
        <v/>
      </c>
      <c r="I159" s="51" t="str">
        <f t="array" ref="I159">IF($J159="","",INDEX(tx_Total,$J159))</f>
        <v/>
      </c>
      <c r="J159" s="52" t="str">
        <f t="shared" si="2"/>
        <v/>
      </c>
      <c r="L159" s="53">
        <f t="shared" si="3"/>
        <v>150</v>
      </c>
      <c r="M159" s="53">
        <f t="array" ref="M159">IF(AND(OR($B$3="All",INDEX(tx_Region,L159)=$B$3),OR($B$4="All",INDEX(tx_Category,L159)=$B$4),INDEX(tx_Total,L159)&gt;=$B$5),1,0)</f>
        <v>0</v>
      </c>
      <c r="N159" s="53">
        <f t="shared" si="4"/>
        <v>7</v>
      </c>
    </row>
    <row r="160" ht="15.75" customHeight="1">
      <c r="A160" s="47" t="str">
        <f t="shared" si="1"/>
        <v/>
      </c>
      <c r="B160" s="48" t="str">
        <f t="array" ref="B160">IF($J160="","",INDEX(tx_ID,$J160))</f>
        <v/>
      </c>
      <c r="C160" s="49" t="str">
        <f t="array" ref="C160">IF($J160="","",INDEX(tx_Date,$J160))</f>
        <v/>
      </c>
      <c r="D160" s="48" t="str">
        <f t="array" ref="D160">IF($J160="","",INDEX(tx_CustName,$J160))</f>
        <v/>
      </c>
      <c r="E160" s="48" t="str">
        <f t="array" ref="E160">IF($J160="","",INDEX(tx_Product,$J160))</f>
        <v/>
      </c>
      <c r="F160" s="48" t="str">
        <f t="array" ref="F160">IF($J160="","",INDEX(tx_Category,$J160))</f>
        <v/>
      </c>
      <c r="G160" s="48" t="str">
        <f t="array" ref="G160">IF($J160="","",INDEX(tx_Region,$J160))</f>
        <v/>
      </c>
      <c r="H160" s="50" t="str">
        <f t="array" ref="H160">IF($J160="","",INDEX(tx_Qty,$J160))</f>
        <v/>
      </c>
      <c r="I160" s="51" t="str">
        <f t="array" ref="I160">IF($J160="","",INDEX(tx_Total,$J160))</f>
        <v/>
      </c>
      <c r="J160" s="52" t="str">
        <f t="shared" si="2"/>
        <v/>
      </c>
      <c r="L160" s="53">
        <f t="shared" si="3"/>
        <v>151</v>
      </c>
      <c r="M160" s="53">
        <f t="array" ref="M160">IF(AND(OR($B$3="All",INDEX(tx_Region,L160)=$B$3),OR($B$4="All",INDEX(tx_Category,L160)=$B$4),INDEX(tx_Total,L160)&gt;=$B$5),1,0)</f>
        <v>0</v>
      </c>
      <c r="N160" s="53">
        <f t="shared" si="4"/>
        <v>7</v>
      </c>
    </row>
    <row r="161" ht="15.75" customHeight="1">
      <c r="A161" s="47" t="str">
        <f t="shared" si="1"/>
        <v/>
      </c>
      <c r="B161" s="48" t="str">
        <f t="array" ref="B161">IF($J161="","",INDEX(tx_ID,$J161))</f>
        <v/>
      </c>
      <c r="C161" s="49" t="str">
        <f t="array" ref="C161">IF($J161="","",INDEX(tx_Date,$J161))</f>
        <v/>
      </c>
      <c r="D161" s="48" t="str">
        <f t="array" ref="D161">IF($J161="","",INDEX(tx_CustName,$J161))</f>
        <v/>
      </c>
      <c r="E161" s="48" t="str">
        <f t="array" ref="E161">IF($J161="","",INDEX(tx_Product,$J161))</f>
        <v/>
      </c>
      <c r="F161" s="48" t="str">
        <f t="array" ref="F161">IF($J161="","",INDEX(tx_Category,$J161))</f>
        <v/>
      </c>
      <c r="G161" s="48" t="str">
        <f t="array" ref="G161">IF($J161="","",INDEX(tx_Region,$J161))</f>
        <v/>
      </c>
      <c r="H161" s="50" t="str">
        <f t="array" ref="H161">IF($J161="","",INDEX(tx_Qty,$J161))</f>
        <v/>
      </c>
      <c r="I161" s="51" t="str">
        <f t="array" ref="I161">IF($J161="","",INDEX(tx_Total,$J161))</f>
        <v/>
      </c>
      <c r="J161" s="52" t="str">
        <f t="shared" si="2"/>
        <v/>
      </c>
      <c r="L161" s="53">
        <f t="shared" si="3"/>
        <v>152</v>
      </c>
      <c r="M161" s="53">
        <f t="array" ref="M161">IF(AND(OR($B$3="All",INDEX(tx_Region,L161)=$B$3),OR($B$4="All",INDEX(tx_Category,L161)=$B$4),INDEX(tx_Total,L161)&gt;=$B$5),1,0)</f>
        <v>0</v>
      </c>
      <c r="N161" s="53">
        <f t="shared" si="4"/>
        <v>7</v>
      </c>
    </row>
    <row r="162" ht="15.75" customHeight="1">
      <c r="A162" s="47" t="str">
        <f t="shared" si="1"/>
        <v/>
      </c>
      <c r="B162" s="48" t="str">
        <f t="array" ref="B162">IF($J162="","",INDEX(tx_ID,$J162))</f>
        <v/>
      </c>
      <c r="C162" s="49" t="str">
        <f t="array" ref="C162">IF($J162="","",INDEX(tx_Date,$J162))</f>
        <v/>
      </c>
      <c r="D162" s="48" t="str">
        <f t="array" ref="D162">IF($J162="","",INDEX(tx_CustName,$J162))</f>
        <v/>
      </c>
      <c r="E162" s="48" t="str">
        <f t="array" ref="E162">IF($J162="","",INDEX(tx_Product,$J162))</f>
        <v/>
      </c>
      <c r="F162" s="48" t="str">
        <f t="array" ref="F162">IF($J162="","",INDEX(tx_Category,$J162))</f>
        <v/>
      </c>
      <c r="G162" s="48" t="str">
        <f t="array" ref="G162">IF($J162="","",INDEX(tx_Region,$J162))</f>
        <v/>
      </c>
      <c r="H162" s="50" t="str">
        <f t="array" ref="H162">IF($J162="","",INDEX(tx_Qty,$J162))</f>
        <v/>
      </c>
      <c r="I162" s="51" t="str">
        <f t="array" ref="I162">IF($J162="","",INDEX(tx_Total,$J162))</f>
        <v/>
      </c>
      <c r="J162" s="52" t="str">
        <f t="shared" si="2"/>
        <v/>
      </c>
      <c r="L162" s="53">
        <f t="shared" si="3"/>
        <v>153</v>
      </c>
      <c r="M162" s="53">
        <f t="array" ref="M162">IF(AND(OR($B$3="All",INDEX(tx_Region,L162)=$B$3),OR($B$4="All",INDEX(tx_Category,L162)=$B$4),INDEX(tx_Total,L162)&gt;=$B$5),1,0)</f>
        <v>0</v>
      </c>
      <c r="N162" s="53">
        <f t="shared" si="4"/>
        <v>7</v>
      </c>
    </row>
    <row r="163" ht="15.75" customHeight="1">
      <c r="A163" s="47" t="str">
        <f t="shared" si="1"/>
        <v/>
      </c>
      <c r="B163" s="48" t="str">
        <f t="array" ref="B163">IF($J163="","",INDEX(tx_ID,$J163))</f>
        <v/>
      </c>
      <c r="C163" s="49" t="str">
        <f t="array" ref="C163">IF($J163="","",INDEX(tx_Date,$J163))</f>
        <v/>
      </c>
      <c r="D163" s="48" t="str">
        <f t="array" ref="D163">IF($J163="","",INDEX(tx_CustName,$J163))</f>
        <v/>
      </c>
      <c r="E163" s="48" t="str">
        <f t="array" ref="E163">IF($J163="","",INDEX(tx_Product,$J163))</f>
        <v/>
      </c>
      <c r="F163" s="48" t="str">
        <f t="array" ref="F163">IF($J163="","",INDEX(tx_Category,$J163))</f>
        <v/>
      </c>
      <c r="G163" s="48" t="str">
        <f t="array" ref="G163">IF($J163="","",INDEX(tx_Region,$J163))</f>
        <v/>
      </c>
      <c r="H163" s="50" t="str">
        <f t="array" ref="H163">IF($J163="","",INDEX(tx_Qty,$J163))</f>
        <v/>
      </c>
      <c r="I163" s="51" t="str">
        <f t="array" ref="I163">IF($J163="","",INDEX(tx_Total,$J163))</f>
        <v/>
      </c>
      <c r="J163" s="52" t="str">
        <f t="shared" si="2"/>
        <v/>
      </c>
      <c r="L163" s="53">
        <f t="shared" si="3"/>
        <v>154</v>
      </c>
      <c r="M163" s="53">
        <f t="array" ref="M163">IF(AND(OR($B$3="All",INDEX(tx_Region,L163)=$B$3),OR($B$4="All",INDEX(tx_Category,L163)=$B$4),INDEX(tx_Total,L163)&gt;=$B$5),1,0)</f>
        <v>0</v>
      </c>
      <c r="N163" s="53">
        <f t="shared" si="4"/>
        <v>7</v>
      </c>
    </row>
    <row r="164" ht="15.75" customHeight="1">
      <c r="A164" s="47" t="str">
        <f t="shared" si="1"/>
        <v/>
      </c>
      <c r="B164" s="48" t="str">
        <f t="array" ref="B164">IF($J164="","",INDEX(tx_ID,$J164))</f>
        <v/>
      </c>
      <c r="C164" s="49" t="str">
        <f t="array" ref="C164">IF($J164="","",INDEX(tx_Date,$J164))</f>
        <v/>
      </c>
      <c r="D164" s="48" t="str">
        <f t="array" ref="D164">IF($J164="","",INDEX(tx_CustName,$J164))</f>
        <v/>
      </c>
      <c r="E164" s="48" t="str">
        <f t="array" ref="E164">IF($J164="","",INDEX(tx_Product,$J164))</f>
        <v/>
      </c>
      <c r="F164" s="48" t="str">
        <f t="array" ref="F164">IF($J164="","",INDEX(tx_Category,$J164))</f>
        <v/>
      </c>
      <c r="G164" s="48" t="str">
        <f t="array" ref="G164">IF($J164="","",INDEX(tx_Region,$J164))</f>
        <v/>
      </c>
      <c r="H164" s="50" t="str">
        <f t="array" ref="H164">IF($J164="","",INDEX(tx_Qty,$J164))</f>
        <v/>
      </c>
      <c r="I164" s="51" t="str">
        <f t="array" ref="I164">IF($J164="","",INDEX(tx_Total,$J164))</f>
        <v/>
      </c>
      <c r="J164" s="52" t="str">
        <f t="shared" si="2"/>
        <v/>
      </c>
      <c r="L164" s="53">
        <f t="shared" si="3"/>
        <v>155</v>
      </c>
      <c r="M164" s="53">
        <f t="array" ref="M164">IF(AND(OR($B$3="All",INDEX(tx_Region,L164)=$B$3),OR($B$4="All",INDEX(tx_Category,L164)=$B$4),INDEX(tx_Total,L164)&gt;=$B$5),1,0)</f>
        <v>0</v>
      </c>
      <c r="N164" s="53">
        <f t="shared" si="4"/>
        <v>7</v>
      </c>
    </row>
    <row r="165" ht="15.75" customHeight="1">
      <c r="A165" s="47" t="str">
        <f t="shared" si="1"/>
        <v/>
      </c>
      <c r="B165" s="48" t="str">
        <f t="array" ref="B165">IF($J165="","",INDEX(tx_ID,$J165))</f>
        <v/>
      </c>
      <c r="C165" s="49" t="str">
        <f t="array" ref="C165">IF($J165="","",INDEX(tx_Date,$J165))</f>
        <v/>
      </c>
      <c r="D165" s="48" t="str">
        <f t="array" ref="D165">IF($J165="","",INDEX(tx_CustName,$J165))</f>
        <v/>
      </c>
      <c r="E165" s="48" t="str">
        <f t="array" ref="E165">IF($J165="","",INDEX(tx_Product,$J165))</f>
        <v/>
      </c>
      <c r="F165" s="48" t="str">
        <f t="array" ref="F165">IF($J165="","",INDEX(tx_Category,$J165))</f>
        <v/>
      </c>
      <c r="G165" s="48" t="str">
        <f t="array" ref="G165">IF($J165="","",INDEX(tx_Region,$J165))</f>
        <v/>
      </c>
      <c r="H165" s="50" t="str">
        <f t="array" ref="H165">IF($J165="","",INDEX(tx_Qty,$J165))</f>
        <v/>
      </c>
      <c r="I165" s="51" t="str">
        <f t="array" ref="I165">IF($J165="","",INDEX(tx_Total,$J165))</f>
        <v/>
      </c>
      <c r="J165" s="52" t="str">
        <f t="shared" si="2"/>
        <v/>
      </c>
      <c r="L165" s="53">
        <f t="shared" si="3"/>
        <v>156</v>
      </c>
      <c r="M165" s="53">
        <f t="array" ref="M165">IF(AND(OR($B$3="All",INDEX(tx_Region,L165)=$B$3),OR($B$4="All",INDEX(tx_Category,L165)=$B$4),INDEX(tx_Total,L165)&gt;=$B$5),1,0)</f>
        <v>0</v>
      </c>
      <c r="N165" s="53">
        <f t="shared" si="4"/>
        <v>7</v>
      </c>
    </row>
    <row r="166" ht="15.75" customHeight="1">
      <c r="A166" s="47" t="str">
        <f t="shared" si="1"/>
        <v/>
      </c>
      <c r="B166" s="48" t="str">
        <f t="array" ref="B166">IF($J166="","",INDEX(tx_ID,$J166))</f>
        <v/>
      </c>
      <c r="C166" s="49" t="str">
        <f t="array" ref="C166">IF($J166="","",INDEX(tx_Date,$J166))</f>
        <v/>
      </c>
      <c r="D166" s="48" t="str">
        <f t="array" ref="D166">IF($J166="","",INDEX(tx_CustName,$J166))</f>
        <v/>
      </c>
      <c r="E166" s="48" t="str">
        <f t="array" ref="E166">IF($J166="","",INDEX(tx_Product,$J166))</f>
        <v/>
      </c>
      <c r="F166" s="48" t="str">
        <f t="array" ref="F166">IF($J166="","",INDEX(tx_Category,$J166))</f>
        <v/>
      </c>
      <c r="G166" s="48" t="str">
        <f t="array" ref="G166">IF($J166="","",INDEX(tx_Region,$J166))</f>
        <v/>
      </c>
      <c r="H166" s="50" t="str">
        <f t="array" ref="H166">IF($J166="","",INDEX(tx_Qty,$J166))</f>
        <v/>
      </c>
      <c r="I166" s="51" t="str">
        <f t="array" ref="I166">IF($J166="","",INDEX(tx_Total,$J166))</f>
        <v/>
      </c>
      <c r="J166" s="52" t="str">
        <f t="shared" si="2"/>
        <v/>
      </c>
      <c r="L166" s="53">
        <f t="shared" si="3"/>
        <v>157</v>
      </c>
      <c r="M166" s="53">
        <f t="array" ref="M166">IF(AND(OR($B$3="All",INDEX(tx_Region,L166)=$B$3),OR($B$4="All",INDEX(tx_Category,L166)=$B$4),INDEX(tx_Total,L166)&gt;=$B$5),1,0)</f>
        <v>0</v>
      </c>
      <c r="N166" s="53">
        <f t="shared" si="4"/>
        <v>7</v>
      </c>
    </row>
    <row r="167" ht="15.75" customHeight="1">
      <c r="A167" s="47" t="str">
        <f t="shared" si="1"/>
        <v/>
      </c>
      <c r="B167" s="48" t="str">
        <f t="array" ref="B167">IF($J167="","",INDEX(tx_ID,$J167))</f>
        <v/>
      </c>
      <c r="C167" s="49" t="str">
        <f t="array" ref="C167">IF($J167="","",INDEX(tx_Date,$J167))</f>
        <v/>
      </c>
      <c r="D167" s="48" t="str">
        <f t="array" ref="D167">IF($J167="","",INDEX(tx_CustName,$J167))</f>
        <v/>
      </c>
      <c r="E167" s="48" t="str">
        <f t="array" ref="E167">IF($J167="","",INDEX(tx_Product,$J167))</f>
        <v/>
      </c>
      <c r="F167" s="48" t="str">
        <f t="array" ref="F167">IF($J167="","",INDEX(tx_Category,$J167))</f>
        <v/>
      </c>
      <c r="G167" s="48" t="str">
        <f t="array" ref="G167">IF($J167="","",INDEX(tx_Region,$J167))</f>
        <v/>
      </c>
      <c r="H167" s="50" t="str">
        <f t="array" ref="H167">IF($J167="","",INDEX(tx_Qty,$J167))</f>
        <v/>
      </c>
      <c r="I167" s="51" t="str">
        <f t="array" ref="I167">IF($J167="","",INDEX(tx_Total,$J167))</f>
        <v/>
      </c>
      <c r="J167" s="52" t="str">
        <f t="shared" si="2"/>
        <v/>
      </c>
      <c r="L167" s="53">
        <f t="shared" si="3"/>
        <v>158</v>
      </c>
      <c r="M167" s="53">
        <f t="array" ref="M167">IF(AND(OR($B$3="All",INDEX(tx_Region,L167)=$B$3),OR($B$4="All",INDEX(tx_Category,L167)=$B$4),INDEX(tx_Total,L167)&gt;=$B$5),1,0)</f>
        <v>0</v>
      </c>
      <c r="N167" s="53">
        <f t="shared" si="4"/>
        <v>7</v>
      </c>
    </row>
    <row r="168" ht="15.75" customHeight="1">
      <c r="A168" s="47" t="str">
        <f t="shared" si="1"/>
        <v/>
      </c>
      <c r="B168" s="48" t="str">
        <f t="array" ref="B168">IF($J168="","",INDEX(tx_ID,$J168))</f>
        <v/>
      </c>
      <c r="C168" s="49" t="str">
        <f t="array" ref="C168">IF($J168="","",INDEX(tx_Date,$J168))</f>
        <v/>
      </c>
      <c r="D168" s="48" t="str">
        <f t="array" ref="D168">IF($J168="","",INDEX(tx_CustName,$J168))</f>
        <v/>
      </c>
      <c r="E168" s="48" t="str">
        <f t="array" ref="E168">IF($J168="","",INDEX(tx_Product,$J168))</f>
        <v/>
      </c>
      <c r="F168" s="48" t="str">
        <f t="array" ref="F168">IF($J168="","",INDEX(tx_Category,$J168))</f>
        <v/>
      </c>
      <c r="G168" s="48" t="str">
        <f t="array" ref="G168">IF($J168="","",INDEX(tx_Region,$J168))</f>
        <v/>
      </c>
      <c r="H168" s="50" t="str">
        <f t="array" ref="H168">IF($J168="","",INDEX(tx_Qty,$J168))</f>
        <v/>
      </c>
      <c r="I168" s="51" t="str">
        <f t="array" ref="I168">IF($J168="","",INDEX(tx_Total,$J168))</f>
        <v/>
      </c>
      <c r="J168" s="52" t="str">
        <f t="shared" si="2"/>
        <v/>
      </c>
      <c r="L168" s="53">
        <f t="shared" si="3"/>
        <v>159</v>
      </c>
      <c r="M168" s="53">
        <f t="array" ref="M168">IF(AND(OR($B$3="All",INDEX(tx_Region,L168)=$B$3),OR($B$4="All",INDEX(tx_Category,L168)=$B$4),INDEX(tx_Total,L168)&gt;=$B$5),1,0)</f>
        <v>0</v>
      </c>
      <c r="N168" s="53">
        <f t="shared" si="4"/>
        <v>7</v>
      </c>
    </row>
    <row r="169" ht="15.75" customHeight="1">
      <c r="A169" s="47" t="str">
        <f t="shared" si="1"/>
        <v/>
      </c>
      <c r="B169" s="48" t="str">
        <f t="array" ref="B169">IF($J169="","",INDEX(tx_ID,$J169))</f>
        <v/>
      </c>
      <c r="C169" s="49" t="str">
        <f t="array" ref="C169">IF($J169="","",INDEX(tx_Date,$J169))</f>
        <v/>
      </c>
      <c r="D169" s="48" t="str">
        <f t="array" ref="D169">IF($J169="","",INDEX(tx_CustName,$J169))</f>
        <v/>
      </c>
      <c r="E169" s="48" t="str">
        <f t="array" ref="E169">IF($J169="","",INDEX(tx_Product,$J169))</f>
        <v/>
      </c>
      <c r="F169" s="48" t="str">
        <f t="array" ref="F169">IF($J169="","",INDEX(tx_Category,$J169))</f>
        <v/>
      </c>
      <c r="G169" s="48" t="str">
        <f t="array" ref="G169">IF($J169="","",INDEX(tx_Region,$J169))</f>
        <v/>
      </c>
      <c r="H169" s="50" t="str">
        <f t="array" ref="H169">IF($J169="","",INDEX(tx_Qty,$J169))</f>
        <v/>
      </c>
      <c r="I169" s="51" t="str">
        <f t="array" ref="I169">IF($J169="","",INDEX(tx_Total,$J169))</f>
        <v/>
      </c>
      <c r="J169" s="52" t="str">
        <f t="shared" si="2"/>
        <v/>
      </c>
      <c r="L169" s="53">
        <f t="shared" si="3"/>
        <v>160</v>
      </c>
      <c r="M169" s="53">
        <f t="array" ref="M169">IF(AND(OR($B$3="All",INDEX(tx_Region,L169)=$B$3),OR($B$4="All",INDEX(tx_Category,L169)=$B$4),INDEX(tx_Total,L169)&gt;=$B$5),1,0)</f>
        <v>0</v>
      </c>
      <c r="N169" s="53">
        <f t="shared" si="4"/>
        <v>7</v>
      </c>
    </row>
    <row r="170" ht="15.75" customHeight="1">
      <c r="A170" s="47" t="str">
        <f t="shared" si="1"/>
        <v/>
      </c>
      <c r="B170" s="48" t="str">
        <f t="array" ref="B170">IF($J170="","",INDEX(tx_ID,$J170))</f>
        <v/>
      </c>
      <c r="C170" s="49" t="str">
        <f t="array" ref="C170">IF($J170="","",INDEX(tx_Date,$J170))</f>
        <v/>
      </c>
      <c r="D170" s="48" t="str">
        <f t="array" ref="D170">IF($J170="","",INDEX(tx_CustName,$J170))</f>
        <v/>
      </c>
      <c r="E170" s="48" t="str">
        <f t="array" ref="E170">IF($J170="","",INDEX(tx_Product,$J170))</f>
        <v/>
      </c>
      <c r="F170" s="48" t="str">
        <f t="array" ref="F170">IF($J170="","",INDEX(tx_Category,$J170))</f>
        <v/>
      </c>
      <c r="G170" s="48" t="str">
        <f t="array" ref="G170">IF($J170="","",INDEX(tx_Region,$J170))</f>
        <v/>
      </c>
      <c r="H170" s="50" t="str">
        <f t="array" ref="H170">IF($J170="","",INDEX(tx_Qty,$J170))</f>
        <v/>
      </c>
      <c r="I170" s="51" t="str">
        <f t="array" ref="I170">IF($J170="","",INDEX(tx_Total,$J170))</f>
        <v/>
      </c>
      <c r="J170" s="52" t="str">
        <f t="shared" si="2"/>
        <v/>
      </c>
      <c r="L170" s="53">
        <f t="shared" si="3"/>
        <v>161</v>
      </c>
      <c r="M170" s="53">
        <f t="array" ref="M170">IF(AND(OR($B$3="All",INDEX(tx_Region,L170)=$B$3),OR($B$4="All",INDEX(tx_Category,L170)=$B$4),INDEX(tx_Total,L170)&gt;=$B$5),1,0)</f>
        <v>0</v>
      </c>
      <c r="N170" s="53">
        <f t="shared" si="4"/>
        <v>7</v>
      </c>
    </row>
    <row r="171" ht="15.75" customHeight="1">
      <c r="A171" s="47" t="str">
        <f t="shared" si="1"/>
        <v/>
      </c>
      <c r="B171" s="48" t="str">
        <f t="array" ref="B171">IF($J171="","",INDEX(tx_ID,$J171))</f>
        <v/>
      </c>
      <c r="C171" s="49" t="str">
        <f t="array" ref="C171">IF($J171="","",INDEX(tx_Date,$J171))</f>
        <v/>
      </c>
      <c r="D171" s="48" t="str">
        <f t="array" ref="D171">IF($J171="","",INDEX(tx_CustName,$J171))</f>
        <v/>
      </c>
      <c r="E171" s="48" t="str">
        <f t="array" ref="E171">IF($J171="","",INDEX(tx_Product,$J171))</f>
        <v/>
      </c>
      <c r="F171" s="48" t="str">
        <f t="array" ref="F171">IF($J171="","",INDEX(tx_Category,$J171))</f>
        <v/>
      </c>
      <c r="G171" s="48" t="str">
        <f t="array" ref="G171">IF($J171="","",INDEX(tx_Region,$J171))</f>
        <v/>
      </c>
      <c r="H171" s="50" t="str">
        <f t="array" ref="H171">IF($J171="","",INDEX(tx_Qty,$J171))</f>
        <v/>
      </c>
      <c r="I171" s="51" t="str">
        <f t="array" ref="I171">IF($J171="","",INDEX(tx_Total,$J171))</f>
        <v/>
      </c>
      <c r="J171" s="52" t="str">
        <f t="shared" si="2"/>
        <v/>
      </c>
      <c r="L171" s="53">
        <f t="shared" si="3"/>
        <v>162</v>
      </c>
      <c r="M171" s="53">
        <f t="array" ref="M171">IF(AND(OR($B$3="All",INDEX(tx_Region,L171)=$B$3),OR($B$4="All",INDEX(tx_Category,L171)=$B$4),INDEX(tx_Total,L171)&gt;=$B$5),1,0)</f>
        <v>0</v>
      </c>
      <c r="N171" s="53">
        <f t="shared" si="4"/>
        <v>7</v>
      </c>
    </row>
    <row r="172" ht="15.75" customHeight="1">
      <c r="A172" s="47" t="str">
        <f t="shared" si="1"/>
        <v/>
      </c>
      <c r="B172" s="48" t="str">
        <f t="array" ref="B172">IF($J172="","",INDEX(tx_ID,$J172))</f>
        <v/>
      </c>
      <c r="C172" s="49" t="str">
        <f t="array" ref="C172">IF($J172="","",INDEX(tx_Date,$J172))</f>
        <v/>
      </c>
      <c r="D172" s="48" t="str">
        <f t="array" ref="D172">IF($J172="","",INDEX(tx_CustName,$J172))</f>
        <v/>
      </c>
      <c r="E172" s="48" t="str">
        <f t="array" ref="E172">IF($J172="","",INDEX(tx_Product,$J172))</f>
        <v/>
      </c>
      <c r="F172" s="48" t="str">
        <f t="array" ref="F172">IF($J172="","",INDEX(tx_Category,$J172))</f>
        <v/>
      </c>
      <c r="G172" s="48" t="str">
        <f t="array" ref="G172">IF($J172="","",INDEX(tx_Region,$J172))</f>
        <v/>
      </c>
      <c r="H172" s="50" t="str">
        <f t="array" ref="H172">IF($J172="","",INDEX(tx_Qty,$J172))</f>
        <v/>
      </c>
      <c r="I172" s="51" t="str">
        <f t="array" ref="I172">IF($J172="","",INDEX(tx_Total,$J172))</f>
        <v/>
      </c>
      <c r="J172" s="52" t="str">
        <f t="shared" si="2"/>
        <v/>
      </c>
      <c r="L172" s="53">
        <f t="shared" si="3"/>
        <v>163</v>
      </c>
      <c r="M172" s="53">
        <f t="array" ref="M172">IF(AND(OR($B$3="All",INDEX(tx_Region,L172)=$B$3),OR($B$4="All",INDEX(tx_Category,L172)=$B$4),INDEX(tx_Total,L172)&gt;=$B$5),1,0)</f>
        <v>0</v>
      </c>
      <c r="N172" s="53">
        <f t="shared" si="4"/>
        <v>7</v>
      </c>
    </row>
    <row r="173" ht="15.75" customHeight="1">
      <c r="A173" s="47" t="str">
        <f t="shared" si="1"/>
        <v/>
      </c>
      <c r="B173" s="48" t="str">
        <f t="array" ref="B173">IF($J173="","",INDEX(tx_ID,$J173))</f>
        <v/>
      </c>
      <c r="C173" s="49" t="str">
        <f t="array" ref="C173">IF($J173="","",INDEX(tx_Date,$J173))</f>
        <v/>
      </c>
      <c r="D173" s="48" t="str">
        <f t="array" ref="D173">IF($J173="","",INDEX(tx_CustName,$J173))</f>
        <v/>
      </c>
      <c r="E173" s="48" t="str">
        <f t="array" ref="E173">IF($J173="","",INDEX(tx_Product,$J173))</f>
        <v/>
      </c>
      <c r="F173" s="48" t="str">
        <f t="array" ref="F173">IF($J173="","",INDEX(tx_Category,$J173))</f>
        <v/>
      </c>
      <c r="G173" s="48" t="str">
        <f t="array" ref="G173">IF($J173="","",INDEX(tx_Region,$J173))</f>
        <v/>
      </c>
      <c r="H173" s="50" t="str">
        <f t="array" ref="H173">IF($J173="","",INDEX(tx_Qty,$J173))</f>
        <v/>
      </c>
      <c r="I173" s="51" t="str">
        <f t="array" ref="I173">IF($J173="","",INDEX(tx_Total,$J173))</f>
        <v/>
      </c>
      <c r="J173" s="52" t="str">
        <f t="shared" si="2"/>
        <v/>
      </c>
      <c r="L173" s="53">
        <f t="shared" si="3"/>
        <v>164</v>
      </c>
      <c r="M173" s="53">
        <f t="array" ref="M173">IF(AND(OR($B$3="All",INDEX(tx_Region,L173)=$B$3),OR($B$4="All",INDEX(tx_Category,L173)=$B$4),INDEX(tx_Total,L173)&gt;=$B$5),1,0)</f>
        <v>0</v>
      </c>
      <c r="N173" s="53">
        <f t="shared" si="4"/>
        <v>7</v>
      </c>
    </row>
    <row r="174" ht="15.75" customHeight="1">
      <c r="A174" s="47" t="str">
        <f t="shared" si="1"/>
        <v/>
      </c>
      <c r="B174" s="48" t="str">
        <f t="array" ref="B174">IF($J174="","",INDEX(tx_ID,$J174))</f>
        <v/>
      </c>
      <c r="C174" s="49" t="str">
        <f t="array" ref="C174">IF($J174="","",INDEX(tx_Date,$J174))</f>
        <v/>
      </c>
      <c r="D174" s="48" t="str">
        <f t="array" ref="D174">IF($J174="","",INDEX(tx_CustName,$J174))</f>
        <v/>
      </c>
      <c r="E174" s="48" t="str">
        <f t="array" ref="E174">IF($J174="","",INDEX(tx_Product,$J174))</f>
        <v/>
      </c>
      <c r="F174" s="48" t="str">
        <f t="array" ref="F174">IF($J174="","",INDEX(tx_Category,$J174))</f>
        <v/>
      </c>
      <c r="G174" s="48" t="str">
        <f t="array" ref="G174">IF($J174="","",INDEX(tx_Region,$J174))</f>
        <v/>
      </c>
      <c r="H174" s="50" t="str">
        <f t="array" ref="H174">IF($J174="","",INDEX(tx_Qty,$J174))</f>
        <v/>
      </c>
      <c r="I174" s="51" t="str">
        <f t="array" ref="I174">IF($J174="","",INDEX(tx_Total,$J174))</f>
        <v/>
      </c>
      <c r="J174" s="52" t="str">
        <f t="shared" si="2"/>
        <v/>
      </c>
      <c r="L174" s="53">
        <f t="shared" si="3"/>
        <v>165</v>
      </c>
      <c r="M174" s="53">
        <f t="array" ref="M174">IF(AND(OR($B$3="All",INDEX(tx_Region,L174)=$B$3),OR($B$4="All",INDEX(tx_Category,L174)=$B$4),INDEX(tx_Total,L174)&gt;=$B$5),1,0)</f>
        <v>0</v>
      </c>
      <c r="N174" s="53">
        <f t="shared" si="4"/>
        <v>7</v>
      </c>
    </row>
    <row r="175" ht="15.75" customHeight="1">
      <c r="A175" s="47" t="str">
        <f t="shared" si="1"/>
        <v/>
      </c>
      <c r="B175" s="48" t="str">
        <f t="array" ref="B175">IF($J175="","",INDEX(tx_ID,$J175))</f>
        <v/>
      </c>
      <c r="C175" s="49" t="str">
        <f t="array" ref="C175">IF($J175="","",INDEX(tx_Date,$J175))</f>
        <v/>
      </c>
      <c r="D175" s="48" t="str">
        <f t="array" ref="D175">IF($J175="","",INDEX(tx_CustName,$J175))</f>
        <v/>
      </c>
      <c r="E175" s="48" t="str">
        <f t="array" ref="E175">IF($J175="","",INDEX(tx_Product,$J175))</f>
        <v/>
      </c>
      <c r="F175" s="48" t="str">
        <f t="array" ref="F175">IF($J175="","",INDEX(tx_Category,$J175))</f>
        <v/>
      </c>
      <c r="G175" s="48" t="str">
        <f t="array" ref="G175">IF($J175="","",INDEX(tx_Region,$J175))</f>
        <v/>
      </c>
      <c r="H175" s="50" t="str">
        <f t="array" ref="H175">IF($J175="","",INDEX(tx_Qty,$J175))</f>
        <v/>
      </c>
      <c r="I175" s="51" t="str">
        <f t="array" ref="I175">IF($J175="","",INDEX(tx_Total,$J175))</f>
        <v/>
      </c>
      <c r="J175" s="52" t="str">
        <f t="shared" si="2"/>
        <v/>
      </c>
      <c r="L175" s="53">
        <f t="shared" si="3"/>
        <v>166</v>
      </c>
      <c r="M175" s="53">
        <f t="array" ref="M175">IF(AND(OR($B$3="All",INDEX(tx_Region,L175)=$B$3),OR($B$4="All",INDEX(tx_Category,L175)=$B$4),INDEX(tx_Total,L175)&gt;=$B$5),1,0)</f>
        <v>0</v>
      </c>
      <c r="N175" s="53">
        <f t="shared" si="4"/>
        <v>7</v>
      </c>
    </row>
    <row r="176" ht="15.75" customHeight="1">
      <c r="A176" s="47" t="str">
        <f t="shared" si="1"/>
        <v/>
      </c>
      <c r="B176" s="48" t="str">
        <f t="array" ref="B176">IF($J176="","",INDEX(tx_ID,$J176))</f>
        <v/>
      </c>
      <c r="C176" s="49" t="str">
        <f t="array" ref="C176">IF($J176="","",INDEX(tx_Date,$J176))</f>
        <v/>
      </c>
      <c r="D176" s="48" t="str">
        <f t="array" ref="D176">IF($J176="","",INDEX(tx_CustName,$J176))</f>
        <v/>
      </c>
      <c r="E176" s="48" t="str">
        <f t="array" ref="E176">IF($J176="","",INDEX(tx_Product,$J176))</f>
        <v/>
      </c>
      <c r="F176" s="48" t="str">
        <f t="array" ref="F176">IF($J176="","",INDEX(tx_Category,$J176))</f>
        <v/>
      </c>
      <c r="G176" s="48" t="str">
        <f t="array" ref="G176">IF($J176="","",INDEX(tx_Region,$J176))</f>
        <v/>
      </c>
      <c r="H176" s="50" t="str">
        <f t="array" ref="H176">IF($J176="","",INDEX(tx_Qty,$J176))</f>
        <v/>
      </c>
      <c r="I176" s="51" t="str">
        <f t="array" ref="I176">IF($J176="","",INDEX(tx_Total,$J176))</f>
        <v/>
      </c>
      <c r="J176" s="52" t="str">
        <f t="shared" si="2"/>
        <v/>
      </c>
      <c r="L176" s="53">
        <f t="shared" si="3"/>
        <v>167</v>
      </c>
      <c r="M176" s="53">
        <f t="array" ref="M176">IF(AND(OR($B$3="All",INDEX(tx_Region,L176)=$B$3),OR($B$4="All",INDEX(tx_Category,L176)=$B$4),INDEX(tx_Total,L176)&gt;=$B$5),1,0)</f>
        <v>0</v>
      </c>
      <c r="N176" s="53">
        <f t="shared" si="4"/>
        <v>7</v>
      </c>
    </row>
    <row r="177" ht="15.75" customHeight="1">
      <c r="A177" s="47" t="str">
        <f t="shared" si="1"/>
        <v/>
      </c>
      <c r="B177" s="48" t="str">
        <f t="array" ref="B177">IF($J177="","",INDEX(tx_ID,$J177))</f>
        <v/>
      </c>
      <c r="C177" s="49" t="str">
        <f t="array" ref="C177">IF($J177="","",INDEX(tx_Date,$J177))</f>
        <v/>
      </c>
      <c r="D177" s="48" t="str">
        <f t="array" ref="D177">IF($J177="","",INDEX(tx_CustName,$J177))</f>
        <v/>
      </c>
      <c r="E177" s="48" t="str">
        <f t="array" ref="E177">IF($J177="","",INDEX(tx_Product,$J177))</f>
        <v/>
      </c>
      <c r="F177" s="48" t="str">
        <f t="array" ref="F177">IF($J177="","",INDEX(tx_Category,$J177))</f>
        <v/>
      </c>
      <c r="G177" s="48" t="str">
        <f t="array" ref="G177">IF($J177="","",INDEX(tx_Region,$J177))</f>
        <v/>
      </c>
      <c r="H177" s="50" t="str">
        <f t="array" ref="H177">IF($J177="","",INDEX(tx_Qty,$J177))</f>
        <v/>
      </c>
      <c r="I177" s="51" t="str">
        <f t="array" ref="I177">IF($J177="","",INDEX(tx_Total,$J177))</f>
        <v/>
      </c>
      <c r="J177" s="52" t="str">
        <f t="shared" si="2"/>
        <v/>
      </c>
      <c r="L177" s="53">
        <f t="shared" si="3"/>
        <v>168</v>
      </c>
      <c r="M177" s="53">
        <f t="array" ref="M177">IF(AND(OR($B$3="All",INDEX(tx_Region,L177)=$B$3),OR($B$4="All",INDEX(tx_Category,L177)=$B$4),INDEX(tx_Total,L177)&gt;=$B$5),1,0)</f>
        <v>0</v>
      </c>
      <c r="N177" s="53">
        <f t="shared" si="4"/>
        <v>7</v>
      </c>
    </row>
    <row r="178" ht="15.75" customHeight="1">
      <c r="A178" s="47" t="str">
        <f t="shared" si="1"/>
        <v/>
      </c>
      <c r="B178" s="48" t="str">
        <f t="array" ref="B178">IF($J178="","",INDEX(tx_ID,$J178))</f>
        <v/>
      </c>
      <c r="C178" s="49" t="str">
        <f t="array" ref="C178">IF($J178="","",INDEX(tx_Date,$J178))</f>
        <v/>
      </c>
      <c r="D178" s="48" t="str">
        <f t="array" ref="D178">IF($J178="","",INDEX(tx_CustName,$J178))</f>
        <v/>
      </c>
      <c r="E178" s="48" t="str">
        <f t="array" ref="E178">IF($J178="","",INDEX(tx_Product,$J178))</f>
        <v/>
      </c>
      <c r="F178" s="48" t="str">
        <f t="array" ref="F178">IF($J178="","",INDEX(tx_Category,$J178))</f>
        <v/>
      </c>
      <c r="G178" s="48" t="str">
        <f t="array" ref="G178">IF($J178="","",INDEX(tx_Region,$J178))</f>
        <v/>
      </c>
      <c r="H178" s="50" t="str">
        <f t="array" ref="H178">IF($J178="","",INDEX(tx_Qty,$J178))</f>
        <v/>
      </c>
      <c r="I178" s="51" t="str">
        <f t="array" ref="I178">IF($J178="","",INDEX(tx_Total,$J178))</f>
        <v/>
      </c>
      <c r="J178" s="52" t="str">
        <f t="shared" si="2"/>
        <v/>
      </c>
      <c r="L178" s="53">
        <f t="shared" si="3"/>
        <v>169</v>
      </c>
      <c r="M178" s="53">
        <f t="array" ref="M178">IF(AND(OR($B$3="All",INDEX(tx_Region,L178)=$B$3),OR($B$4="All",INDEX(tx_Category,L178)=$B$4),INDEX(tx_Total,L178)&gt;=$B$5),1,0)</f>
        <v>1</v>
      </c>
      <c r="N178" s="53">
        <f t="shared" si="4"/>
        <v>8</v>
      </c>
    </row>
    <row r="179" ht="15.75" customHeight="1">
      <c r="A179" s="47" t="str">
        <f t="shared" si="1"/>
        <v/>
      </c>
      <c r="B179" s="48" t="str">
        <f t="array" ref="B179">IF($J179="","",INDEX(tx_ID,$J179))</f>
        <v/>
      </c>
      <c r="C179" s="49" t="str">
        <f t="array" ref="C179">IF($J179="","",INDEX(tx_Date,$J179))</f>
        <v/>
      </c>
      <c r="D179" s="48" t="str">
        <f t="array" ref="D179">IF($J179="","",INDEX(tx_CustName,$J179))</f>
        <v/>
      </c>
      <c r="E179" s="48" t="str">
        <f t="array" ref="E179">IF($J179="","",INDEX(tx_Product,$J179))</f>
        <v/>
      </c>
      <c r="F179" s="48" t="str">
        <f t="array" ref="F179">IF($J179="","",INDEX(tx_Category,$J179))</f>
        <v/>
      </c>
      <c r="G179" s="48" t="str">
        <f t="array" ref="G179">IF($J179="","",INDEX(tx_Region,$J179))</f>
        <v/>
      </c>
      <c r="H179" s="50" t="str">
        <f t="array" ref="H179">IF($J179="","",INDEX(tx_Qty,$J179))</f>
        <v/>
      </c>
      <c r="I179" s="51" t="str">
        <f t="array" ref="I179">IF($J179="","",INDEX(tx_Total,$J179))</f>
        <v/>
      </c>
      <c r="J179" s="52" t="str">
        <f t="shared" si="2"/>
        <v/>
      </c>
      <c r="L179" s="53">
        <f t="shared" si="3"/>
        <v>170</v>
      </c>
      <c r="M179" s="53">
        <f t="array" ref="M179">IF(AND(OR($B$3="All",INDEX(tx_Region,L179)=$B$3),OR($B$4="All",INDEX(tx_Category,L179)=$B$4),INDEX(tx_Total,L179)&gt;=$B$5),1,0)</f>
        <v>0</v>
      </c>
      <c r="N179" s="53">
        <f t="shared" si="4"/>
        <v>8</v>
      </c>
    </row>
    <row r="180" ht="15.75" customHeight="1">
      <c r="A180" s="47" t="str">
        <f t="shared" si="1"/>
        <v/>
      </c>
      <c r="B180" s="48" t="str">
        <f t="array" ref="B180">IF($J180="","",INDEX(tx_ID,$J180))</f>
        <v/>
      </c>
      <c r="C180" s="49" t="str">
        <f t="array" ref="C180">IF($J180="","",INDEX(tx_Date,$J180))</f>
        <v/>
      </c>
      <c r="D180" s="48" t="str">
        <f t="array" ref="D180">IF($J180="","",INDEX(tx_CustName,$J180))</f>
        <v/>
      </c>
      <c r="E180" s="48" t="str">
        <f t="array" ref="E180">IF($J180="","",INDEX(tx_Product,$J180))</f>
        <v/>
      </c>
      <c r="F180" s="48" t="str">
        <f t="array" ref="F180">IF($J180="","",INDEX(tx_Category,$J180))</f>
        <v/>
      </c>
      <c r="G180" s="48" t="str">
        <f t="array" ref="G180">IF($J180="","",INDEX(tx_Region,$J180))</f>
        <v/>
      </c>
      <c r="H180" s="50" t="str">
        <f t="array" ref="H180">IF($J180="","",INDEX(tx_Qty,$J180))</f>
        <v/>
      </c>
      <c r="I180" s="51" t="str">
        <f t="array" ref="I180">IF($J180="","",INDEX(tx_Total,$J180))</f>
        <v/>
      </c>
      <c r="J180" s="52" t="str">
        <f t="shared" si="2"/>
        <v/>
      </c>
      <c r="L180" s="53">
        <f t="shared" si="3"/>
        <v>171</v>
      </c>
      <c r="M180" s="53">
        <f t="array" ref="M180">IF(AND(OR($B$3="All",INDEX(tx_Region,L180)=$B$3),OR($B$4="All",INDEX(tx_Category,L180)=$B$4),INDEX(tx_Total,L180)&gt;=$B$5),1,0)</f>
        <v>0</v>
      </c>
      <c r="N180" s="53">
        <f t="shared" si="4"/>
        <v>8</v>
      </c>
    </row>
    <row r="181" ht="15.75" customHeight="1">
      <c r="A181" s="47" t="str">
        <f t="shared" si="1"/>
        <v/>
      </c>
      <c r="B181" s="48" t="str">
        <f t="array" ref="B181">IF($J181="","",INDEX(tx_ID,$J181))</f>
        <v/>
      </c>
      <c r="C181" s="49" t="str">
        <f t="array" ref="C181">IF($J181="","",INDEX(tx_Date,$J181))</f>
        <v/>
      </c>
      <c r="D181" s="48" t="str">
        <f t="array" ref="D181">IF($J181="","",INDEX(tx_CustName,$J181))</f>
        <v/>
      </c>
      <c r="E181" s="48" t="str">
        <f t="array" ref="E181">IF($J181="","",INDEX(tx_Product,$J181))</f>
        <v/>
      </c>
      <c r="F181" s="48" t="str">
        <f t="array" ref="F181">IF($J181="","",INDEX(tx_Category,$J181))</f>
        <v/>
      </c>
      <c r="G181" s="48" t="str">
        <f t="array" ref="G181">IF($J181="","",INDEX(tx_Region,$J181))</f>
        <v/>
      </c>
      <c r="H181" s="50" t="str">
        <f t="array" ref="H181">IF($J181="","",INDEX(tx_Qty,$J181))</f>
        <v/>
      </c>
      <c r="I181" s="51" t="str">
        <f t="array" ref="I181">IF($J181="","",INDEX(tx_Total,$J181))</f>
        <v/>
      </c>
      <c r="J181" s="52" t="str">
        <f t="shared" si="2"/>
        <v/>
      </c>
      <c r="L181" s="53">
        <f t="shared" si="3"/>
        <v>172</v>
      </c>
      <c r="M181" s="53">
        <f t="array" ref="M181">IF(AND(OR($B$3="All",INDEX(tx_Region,L181)=$B$3),OR($B$4="All",INDEX(tx_Category,L181)=$B$4),INDEX(tx_Total,L181)&gt;=$B$5),1,0)</f>
        <v>0</v>
      </c>
      <c r="N181" s="53">
        <f t="shared" si="4"/>
        <v>8</v>
      </c>
    </row>
    <row r="182" ht="15.75" customHeight="1">
      <c r="A182" s="47" t="str">
        <f t="shared" si="1"/>
        <v/>
      </c>
      <c r="B182" s="48" t="str">
        <f t="array" ref="B182">IF($J182="","",INDEX(tx_ID,$J182))</f>
        <v/>
      </c>
      <c r="C182" s="49" t="str">
        <f t="array" ref="C182">IF($J182="","",INDEX(tx_Date,$J182))</f>
        <v/>
      </c>
      <c r="D182" s="48" t="str">
        <f t="array" ref="D182">IF($J182="","",INDEX(tx_CustName,$J182))</f>
        <v/>
      </c>
      <c r="E182" s="48" t="str">
        <f t="array" ref="E182">IF($J182="","",INDEX(tx_Product,$J182))</f>
        <v/>
      </c>
      <c r="F182" s="48" t="str">
        <f t="array" ref="F182">IF($J182="","",INDEX(tx_Category,$J182))</f>
        <v/>
      </c>
      <c r="G182" s="48" t="str">
        <f t="array" ref="G182">IF($J182="","",INDEX(tx_Region,$J182))</f>
        <v/>
      </c>
      <c r="H182" s="50" t="str">
        <f t="array" ref="H182">IF($J182="","",INDEX(tx_Qty,$J182))</f>
        <v/>
      </c>
      <c r="I182" s="51" t="str">
        <f t="array" ref="I182">IF($J182="","",INDEX(tx_Total,$J182))</f>
        <v/>
      </c>
      <c r="J182" s="52" t="str">
        <f t="shared" si="2"/>
        <v/>
      </c>
      <c r="L182" s="53">
        <f t="shared" si="3"/>
        <v>173</v>
      </c>
      <c r="M182" s="53">
        <f t="array" ref="M182">IF(AND(OR($B$3="All",INDEX(tx_Region,L182)=$B$3),OR($B$4="All",INDEX(tx_Category,L182)=$B$4),INDEX(tx_Total,L182)&gt;=$B$5),1,0)</f>
        <v>0</v>
      </c>
      <c r="N182" s="53">
        <f t="shared" si="4"/>
        <v>8</v>
      </c>
    </row>
    <row r="183" ht="15.75" customHeight="1">
      <c r="A183" s="47" t="str">
        <f t="shared" si="1"/>
        <v/>
      </c>
      <c r="B183" s="48" t="str">
        <f t="array" ref="B183">IF($J183="","",INDEX(tx_ID,$J183))</f>
        <v/>
      </c>
      <c r="C183" s="49" t="str">
        <f t="array" ref="C183">IF($J183="","",INDEX(tx_Date,$J183))</f>
        <v/>
      </c>
      <c r="D183" s="48" t="str">
        <f t="array" ref="D183">IF($J183="","",INDEX(tx_CustName,$J183))</f>
        <v/>
      </c>
      <c r="E183" s="48" t="str">
        <f t="array" ref="E183">IF($J183="","",INDEX(tx_Product,$J183))</f>
        <v/>
      </c>
      <c r="F183" s="48" t="str">
        <f t="array" ref="F183">IF($J183="","",INDEX(tx_Category,$J183))</f>
        <v/>
      </c>
      <c r="G183" s="48" t="str">
        <f t="array" ref="G183">IF($J183="","",INDEX(tx_Region,$J183))</f>
        <v/>
      </c>
      <c r="H183" s="50" t="str">
        <f t="array" ref="H183">IF($J183="","",INDEX(tx_Qty,$J183))</f>
        <v/>
      </c>
      <c r="I183" s="51" t="str">
        <f t="array" ref="I183">IF($J183="","",INDEX(tx_Total,$J183))</f>
        <v/>
      </c>
      <c r="J183" s="52" t="str">
        <f t="shared" si="2"/>
        <v/>
      </c>
      <c r="L183" s="53">
        <f t="shared" si="3"/>
        <v>174</v>
      </c>
      <c r="M183" s="53">
        <f t="array" ref="M183">IF(AND(OR($B$3="All",INDEX(tx_Region,L183)=$B$3),OR($B$4="All",INDEX(tx_Category,L183)=$B$4),INDEX(tx_Total,L183)&gt;=$B$5),1,0)</f>
        <v>0</v>
      </c>
      <c r="N183" s="53">
        <f t="shared" si="4"/>
        <v>8</v>
      </c>
    </row>
    <row r="184" ht="15.75" customHeight="1">
      <c r="A184" s="47" t="str">
        <f t="shared" si="1"/>
        <v/>
      </c>
      <c r="B184" s="48" t="str">
        <f t="array" ref="B184">IF($J184="","",INDEX(tx_ID,$J184))</f>
        <v/>
      </c>
      <c r="C184" s="49" t="str">
        <f t="array" ref="C184">IF($J184="","",INDEX(tx_Date,$J184))</f>
        <v/>
      </c>
      <c r="D184" s="48" t="str">
        <f t="array" ref="D184">IF($J184="","",INDEX(tx_CustName,$J184))</f>
        <v/>
      </c>
      <c r="E184" s="48" t="str">
        <f t="array" ref="E184">IF($J184="","",INDEX(tx_Product,$J184))</f>
        <v/>
      </c>
      <c r="F184" s="48" t="str">
        <f t="array" ref="F184">IF($J184="","",INDEX(tx_Category,$J184))</f>
        <v/>
      </c>
      <c r="G184" s="48" t="str">
        <f t="array" ref="G184">IF($J184="","",INDEX(tx_Region,$J184))</f>
        <v/>
      </c>
      <c r="H184" s="50" t="str">
        <f t="array" ref="H184">IF($J184="","",INDEX(tx_Qty,$J184))</f>
        <v/>
      </c>
      <c r="I184" s="51" t="str">
        <f t="array" ref="I184">IF($J184="","",INDEX(tx_Total,$J184))</f>
        <v/>
      </c>
      <c r="J184" s="52" t="str">
        <f t="shared" si="2"/>
        <v/>
      </c>
      <c r="L184" s="53">
        <f t="shared" si="3"/>
        <v>175</v>
      </c>
      <c r="M184" s="53">
        <f t="array" ref="M184">IF(AND(OR($B$3="All",INDEX(tx_Region,L184)=$B$3),OR($B$4="All",INDEX(tx_Category,L184)=$B$4),INDEX(tx_Total,L184)&gt;=$B$5),1,0)</f>
        <v>0</v>
      </c>
      <c r="N184" s="53">
        <f t="shared" si="4"/>
        <v>8</v>
      </c>
    </row>
    <row r="185" ht="15.75" customHeight="1">
      <c r="A185" s="47" t="str">
        <f t="shared" si="1"/>
        <v/>
      </c>
      <c r="B185" s="48" t="str">
        <f t="array" ref="B185">IF($J185="","",INDEX(tx_ID,$J185))</f>
        <v/>
      </c>
      <c r="C185" s="49" t="str">
        <f t="array" ref="C185">IF($J185="","",INDEX(tx_Date,$J185))</f>
        <v/>
      </c>
      <c r="D185" s="48" t="str">
        <f t="array" ref="D185">IF($J185="","",INDEX(tx_CustName,$J185))</f>
        <v/>
      </c>
      <c r="E185" s="48" t="str">
        <f t="array" ref="E185">IF($J185="","",INDEX(tx_Product,$J185))</f>
        <v/>
      </c>
      <c r="F185" s="48" t="str">
        <f t="array" ref="F185">IF($J185="","",INDEX(tx_Category,$J185))</f>
        <v/>
      </c>
      <c r="G185" s="48" t="str">
        <f t="array" ref="G185">IF($J185="","",INDEX(tx_Region,$J185))</f>
        <v/>
      </c>
      <c r="H185" s="50" t="str">
        <f t="array" ref="H185">IF($J185="","",INDEX(tx_Qty,$J185))</f>
        <v/>
      </c>
      <c r="I185" s="51" t="str">
        <f t="array" ref="I185">IF($J185="","",INDEX(tx_Total,$J185))</f>
        <v/>
      </c>
      <c r="J185" s="52" t="str">
        <f t="shared" si="2"/>
        <v/>
      </c>
      <c r="L185" s="53">
        <f t="shared" si="3"/>
        <v>176</v>
      </c>
      <c r="M185" s="53">
        <f t="array" ref="M185">IF(AND(OR($B$3="All",INDEX(tx_Region,L185)=$B$3),OR($B$4="All",INDEX(tx_Category,L185)=$B$4),INDEX(tx_Total,L185)&gt;=$B$5),1,0)</f>
        <v>0</v>
      </c>
      <c r="N185" s="53">
        <f t="shared" si="4"/>
        <v>8</v>
      </c>
    </row>
    <row r="186" ht="15.75" customHeight="1">
      <c r="A186" s="47" t="str">
        <f t="shared" si="1"/>
        <v/>
      </c>
      <c r="B186" s="48" t="str">
        <f t="array" ref="B186">IF($J186="","",INDEX(tx_ID,$J186))</f>
        <v/>
      </c>
      <c r="C186" s="49" t="str">
        <f t="array" ref="C186">IF($J186="","",INDEX(tx_Date,$J186))</f>
        <v/>
      </c>
      <c r="D186" s="48" t="str">
        <f t="array" ref="D186">IF($J186="","",INDEX(tx_CustName,$J186))</f>
        <v/>
      </c>
      <c r="E186" s="48" t="str">
        <f t="array" ref="E186">IF($J186="","",INDEX(tx_Product,$J186))</f>
        <v/>
      </c>
      <c r="F186" s="48" t="str">
        <f t="array" ref="F186">IF($J186="","",INDEX(tx_Category,$J186))</f>
        <v/>
      </c>
      <c r="G186" s="48" t="str">
        <f t="array" ref="G186">IF($J186="","",INDEX(tx_Region,$J186))</f>
        <v/>
      </c>
      <c r="H186" s="50" t="str">
        <f t="array" ref="H186">IF($J186="","",INDEX(tx_Qty,$J186))</f>
        <v/>
      </c>
      <c r="I186" s="51" t="str">
        <f t="array" ref="I186">IF($J186="","",INDEX(tx_Total,$J186))</f>
        <v/>
      </c>
      <c r="J186" s="52" t="str">
        <f t="shared" si="2"/>
        <v/>
      </c>
      <c r="L186" s="53">
        <f t="shared" si="3"/>
        <v>177</v>
      </c>
      <c r="M186" s="53">
        <f t="array" ref="M186">IF(AND(OR($B$3="All",INDEX(tx_Region,L186)=$B$3),OR($B$4="All",INDEX(tx_Category,L186)=$B$4),INDEX(tx_Total,L186)&gt;=$B$5),1,0)</f>
        <v>0</v>
      </c>
      <c r="N186" s="53">
        <f t="shared" si="4"/>
        <v>8</v>
      </c>
    </row>
    <row r="187" ht="15.75" customHeight="1">
      <c r="A187" s="47" t="str">
        <f t="shared" si="1"/>
        <v/>
      </c>
      <c r="B187" s="48" t="str">
        <f t="array" ref="B187">IF($J187="","",INDEX(tx_ID,$J187))</f>
        <v/>
      </c>
      <c r="C187" s="49" t="str">
        <f t="array" ref="C187">IF($J187="","",INDEX(tx_Date,$J187))</f>
        <v/>
      </c>
      <c r="D187" s="48" t="str">
        <f t="array" ref="D187">IF($J187="","",INDEX(tx_CustName,$J187))</f>
        <v/>
      </c>
      <c r="E187" s="48" t="str">
        <f t="array" ref="E187">IF($J187="","",INDEX(tx_Product,$J187))</f>
        <v/>
      </c>
      <c r="F187" s="48" t="str">
        <f t="array" ref="F187">IF($J187="","",INDEX(tx_Category,$J187))</f>
        <v/>
      </c>
      <c r="G187" s="48" t="str">
        <f t="array" ref="G187">IF($J187="","",INDEX(tx_Region,$J187))</f>
        <v/>
      </c>
      <c r="H187" s="50" t="str">
        <f t="array" ref="H187">IF($J187="","",INDEX(tx_Qty,$J187))</f>
        <v/>
      </c>
      <c r="I187" s="51" t="str">
        <f t="array" ref="I187">IF($J187="","",INDEX(tx_Total,$J187))</f>
        <v/>
      </c>
      <c r="J187" s="52" t="str">
        <f t="shared" si="2"/>
        <v/>
      </c>
      <c r="L187" s="53">
        <f t="shared" si="3"/>
        <v>178</v>
      </c>
      <c r="M187" s="53">
        <f t="array" ref="M187">IF(AND(OR($B$3="All",INDEX(tx_Region,L187)=$B$3),OR($B$4="All",INDEX(tx_Category,L187)=$B$4),INDEX(tx_Total,L187)&gt;=$B$5),1,0)</f>
        <v>0</v>
      </c>
      <c r="N187" s="53">
        <f t="shared" si="4"/>
        <v>8</v>
      </c>
    </row>
    <row r="188" ht="15.75" customHeight="1">
      <c r="A188" s="47" t="str">
        <f t="shared" si="1"/>
        <v/>
      </c>
      <c r="B188" s="48" t="str">
        <f t="array" ref="B188">IF($J188="","",INDEX(tx_ID,$J188))</f>
        <v/>
      </c>
      <c r="C188" s="49" t="str">
        <f t="array" ref="C188">IF($J188="","",INDEX(tx_Date,$J188))</f>
        <v/>
      </c>
      <c r="D188" s="48" t="str">
        <f t="array" ref="D188">IF($J188="","",INDEX(tx_CustName,$J188))</f>
        <v/>
      </c>
      <c r="E188" s="48" t="str">
        <f t="array" ref="E188">IF($J188="","",INDEX(tx_Product,$J188))</f>
        <v/>
      </c>
      <c r="F188" s="48" t="str">
        <f t="array" ref="F188">IF($J188="","",INDEX(tx_Category,$J188))</f>
        <v/>
      </c>
      <c r="G188" s="48" t="str">
        <f t="array" ref="G188">IF($J188="","",INDEX(tx_Region,$J188))</f>
        <v/>
      </c>
      <c r="H188" s="50" t="str">
        <f t="array" ref="H188">IF($J188="","",INDEX(tx_Qty,$J188))</f>
        <v/>
      </c>
      <c r="I188" s="51" t="str">
        <f t="array" ref="I188">IF($J188="","",INDEX(tx_Total,$J188))</f>
        <v/>
      </c>
      <c r="J188" s="52" t="str">
        <f t="shared" si="2"/>
        <v/>
      </c>
      <c r="L188" s="53">
        <f t="shared" si="3"/>
        <v>179</v>
      </c>
      <c r="M188" s="53">
        <f t="array" ref="M188">IF(AND(OR($B$3="All",INDEX(tx_Region,L188)=$B$3),OR($B$4="All",INDEX(tx_Category,L188)=$B$4),INDEX(tx_Total,L188)&gt;=$B$5),1,0)</f>
        <v>0</v>
      </c>
      <c r="N188" s="53">
        <f t="shared" si="4"/>
        <v>8</v>
      </c>
    </row>
    <row r="189" ht="15.75" customHeight="1">
      <c r="A189" s="47" t="str">
        <f t="shared" si="1"/>
        <v/>
      </c>
      <c r="B189" s="48" t="str">
        <f t="array" ref="B189">IF($J189="","",INDEX(tx_ID,$J189))</f>
        <v/>
      </c>
      <c r="C189" s="49" t="str">
        <f t="array" ref="C189">IF($J189="","",INDEX(tx_Date,$J189))</f>
        <v/>
      </c>
      <c r="D189" s="48" t="str">
        <f t="array" ref="D189">IF($J189="","",INDEX(tx_CustName,$J189))</f>
        <v/>
      </c>
      <c r="E189" s="48" t="str">
        <f t="array" ref="E189">IF($J189="","",INDEX(tx_Product,$J189))</f>
        <v/>
      </c>
      <c r="F189" s="48" t="str">
        <f t="array" ref="F189">IF($J189="","",INDEX(tx_Category,$J189))</f>
        <v/>
      </c>
      <c r="G189" s="48" t="str">
        <f t="array" ref="G189">IF($J189="","",INDEX(tx_Region,$J189))</f>
        <v/>
      </c>
      <c r="H189" s="50" t="str">
        <f t="array" ref="H189">IF($J189="","",INDEX(tx_Qty,$J189))</f>
        <v/>
      </c>
      <c r="I189" s="51" t="str">
        <f t="array" ref="I189">IF($J189="","",INDEX(tx_Total,$J189))</f>
        <v/>
      </c>
      <c r="J189" s="52" t="str">
        <f t="shared" si="2"/>
        <v/>
      </c>
      <c r="L189" s="53">
        <f t="shared" si="3"/>
        <v>180</v>
      </c>
      <c r="M189" s="53">
        <f t="array" ref="M189">IF(AND(OR($B$3="All",INDEX(tx_Region,L189)=$B$3),OR($B$4="All",INDEX(tx_Category,L189)=$B$4),INDEX(tx_Total,L189)&gt;=$B$5),1,0)</f>
        <v>0</v>
      </c>
      <c r="N189" s="53">
        <f t="shared" si="4"/>
        <v>8</v>
      </c>
    </row>
    <row r="190" ht="15.75" customHeight="1">
      <c r="A190" s="47" t="str">
        <f t="shared" si="1"/>
        <v/>
      </c>
      <c r="B190" s="48" t="str">
        <f t="array" ref="B190">IF($J190="","",INDEX(tx_ID,$J190))</f>
        <v/>
      </c>
      <c r="C190" s="49" t="str">
        <f t="array" ref="C190">IF($J190="","",INDEX(tx_Date,$J190))</f>
        <v/>
      </c>
      <c r="D190" s="48" t="str">
        <f t="array" ref="D190">IF($J190="","",INDEX(tx_CustName,$J190))</f>
        <v/>
      </c>
      <c r="E190" s="48" t="str">
        <f t="array" ref="E190">IF($J190="","",INDEX(tx_Product,$J190))</f>
        <v/>
      </c>
      <c r="F190" s="48" t="str">
        <f t="array" ref="F190">IF($J190="","",INDEX(tx_Category,$J190))</f>
        <v/>
      </c>
      <c r="G190" s="48" t="str">
        <f t="array" ref="G190">IF($J190="","",INDEX(tx_Region,$J190))</f>
        <v/>
      </c>
      <c r="H190" s="50" t="str">
        <f t="array" ref="H190">IF($J190="","",INDEX(tx_Qty,$J190))</f>
        <v/>
      </c>
      <c r="I190" s="51" t="str">
        <f t="array" ref="I190">IF($J190="","",INDEX(tx_Total,$J190))</f>
        <v/>
      </c>
      <c r="J190" s="52" t="str">
        <f t="shared" si="2"/>
        <v/>
      </c>
      <c r="L190" s="53">
        <f t="shared" si="3"/>
        <v>181</v>
      </c>
      <c r="M190" s="53">
        <f t="array" ref="M190">IF(AND(OR($B$3="All",INDEX(tx_Region,L190)=$B$3),OR($B$4="All",INDEX(tx_Category,L190)=$B$4),INDEX(tx_Total,L190)&gt;=$B$5),1,0)</f>
        <v>0</v>
      </c>
      <c r="N190" s="53">
        <f t="shared" si="4"/>
        <v>8</v>
      </c>
    </row>
    <row r="191" ht="15.75" customHeight="1">
      <c r="A191" s="47" t="str">
        <f t="shared" si="1"/>
        <v/>
      </c>
      <c r="B191" s="48" t="str">
        <f t="array" ref="B191">IF($J191="","",INDEX(tx_ID,$J191))</f>
        <v/>
      </c>
      <c r="C191" s="49" t="str">
        <f t="array" ref="C191">IF($J191="","",INDEX(tx_Date,$J191))</f>
        <v/>
      </c>
      <c r="D191" s="48" t="str">
        <f t="array" ref="D191">IF($J191="","",INDEX(tx_CustName,$J191))</f>
        <v/>
      </c>
      <c r="E191" s="48" t="str">
        <f t="array" ref="E191">IF($J191="","",INDEX(tx_Product,$J191))</f>
        <v/>
      </c>
      <c r="F191" s="48" t="str">
        <f t="array" ref="F191">IF($J191="","",INDEX(tx_Category,$J191))</f>
        <v/>
      </c>
      <c r="G191" s="48" t="str">
        <f t="array" ref="G191">IF($J191="","",INDEX(tx_Region,$J191))</f>
        <v/>
      </c>
      <c r="H191" s="50" t="str">
        <f t="array" ref="H191">IF($J191="","",INDEX(tx_Qty,$J191))</f>
        <v/>
      </c>
      <c r="I191" s="51" t="str">
        <f t="array" ref="I191">IF($J191="","",INDEX(tx_Total,$J191))</f>
        <v/>
      </c>
      <c r="J191" s="52" t="str">
        <f t="shared" si="2"/>
        <v/>
      </c>
      <c r="L191" s="53">
        <f t="shared" si="3"/>
        <v>182</v>
      </c>
      <c r="M191" s="53">
        <f t="array" ref="M191">IF(AND(OR($B$3="All",INDEX(tx_Region,L191)=$B$3),OR($B$4="All",INDEX(tx_Category,L191)=$B$4),INDEX(tx_Total,L191)&gt;=$B$5),1,0)</f>
        <v>0</v>
      </c>
      <c r="N191" s="53">
        <f t="shared" si="4"/>
        <v>8</v>
      </c>
    </row>
    <row r="192" ht="15.75" customHeight="1">
      <c r="A192" s="47" t="str">
        <f t="shared" si="1"/>
        <v/>
      </c>
      <c r="B192" s="48" t="str">
        <f t="array" ref="B192">IF($J192="","",INDEX(tx_ID,$J192))</f>
        <v/>
      </c>
      <c r="C192" s="49" t="str">
        <f t="array" ref="C192">IF($J192="","",INDEX(tx_Date,$J192))</f>
        <v/>
      </c>
      <c r="D192" s="48" t="str">
        <f t="array" ref="D192">IF($J192="","",INDEX(tx_CustName,$J192))</f>
        <v/>
      </c>
      <c r="E192" s="48" t="str">
        <f t="array" ref="E192">IF($J192="","",INDEX(tx_Product,$J192))</f>
        <v/>
      </c>
      <c r="F192" s="48" t="str">
        <f t="array" ref="F192">IF($J192="","",INDEX(tx_Category,$J192))</f>
        <v/>
      </c>
      <c r="G192" s="48" t="str">
        <f t="array" ref="G192">IF($J192="","",INDEX(tx_Region,$J192))</f>
        <v/>
      </c>
      <c r="H192" s="50" t="str">
        <f t="array" ref="H192">IF($J192="","",INDEX(tx_Qty,$J192))</f>
        <v/>
      </c>
      <c r="I192" s="51" t="str">
        <f t="array" ref="I192">IF($J192="","",INDEX(tx_Total,$J192))</f>
        <v/>
      </c>
      <c r="J192" s="52" t="str">
        <f t="shared" si="2"/>
        <v/>
      </c>
      <c r="L192" s="53">
        <f t="shared" si="3"/>
        <v>183</v>
      </c>
      <c r="M192" s="53">
        <f t="array" ref="M192">IF(AND(OR($B$3="All",INDEX(tx_Region,L192)=$B$3),OR($B$4="All",INDEX(tx_Category,L192)=$B$4),INDEX(tx_Total,L192)&gt;=$B$5),1,0)</f>
        <v>0</v>
      </c>
      <c r="N192" s="53">
        <f t="shared" si="4"/>
        <v>8</v>
      </c>
    </row>
    <row r="193" ht="15.75" customHeight="1">
      <c r="A193" s="47" t="str">
        <f t="shared" si="1"/>
        <v/>
      </c>
      <c r="B193" s="48" t="str">
        <f t="array" ref="B193">IF($J193="","",INDEX(tx_ID,$J193))</f>
        <v/>
      </c>
      <c r="C193" s="49" t="str">
        <f t="array" ref="C193">IF($J193="","",INDEX(tx_Date,$J193))</f>
        <v/>
      </c>
      <c r="D193" s="48" t="str">
        <f t="array" ref="D193">IF($J193="","",INDEX(tx_CustName,$J193))</f>
        <v/>
      </c>
      <c r="E193" s="48" t="str">
        <f t="array" ref="E193">IF($J193="","",INDEX(tx_Product,$J193))</f>
        <v/>
      </c>
      <c r="F193" s="48" t="str">
        <f t="array" ref="F193">IF($J193="","",INDEX(tx_Category,$J193))</f>
        <v/>
      </c>
      <c r="G193" s="48" t="str">
        <f t="array" ref="G193">IF($J193="","",INDEX(tx_Region,$J193))</f>
        <v/>
      </c>
      <c r="H193" s="50" t="str">
        <f t="array" ref="H193">IF($J193="","",INDEX(tx_Qty,$J193))</f>
        <v/>
      </c>
      <c r="I193" s="51" t="str">
        <f t="array" ref="I193">IF($J193="","",INDEX(tx_Total,$J193))</f>
        <v/>
      </c>
      <c r="J193" s="52" t="str">
        <f t="shared" si="2"/>
        <v/>
      </c>
      <c r="L193" s="53">
        <f t="shared" si="3"/>
        <v>184</v>
      </c>
      <c r="M193" s="53">
        <f t="array" ref="M193">IF(AND(OR($B$3="All",INDEX(tx_Region,L193)=$B$3),OR($B$4="All",INDEX(tx_Category,L193)=$B$4),INDEX(tx_Total,L193)&gt;=$B$5),1,0)</f>
        <v>0</v>
      </c>
      <c r="N193" s="53">
        <f t="shared" si="4"/>
        <v>8</v>
      </c>
    </row>
    <row r="194" ht="15.75" customHeight="1">
      <c r="A194" s="47" t="str">
        <f t="shared" si="1"/>
        <v/>
      </c>
      <c r="B194" s="48" t="str">
        <f t="array" ref="B194">IF($J194="","",INDEX(tx_ID,$J194))</f>
        <v/>
      </c>
      <c r="C194" s="49" t="str">
        <f t="array" ref="C194">IF($J194="","",INDEX(tx_Date,$J194))</f>
        <v/>
      </c>
      <c r="D194" s="48" t="str">
        <f t="array" ref="D194">IF($J194="","",INDEX(tx_CustName,$J194))</f>
        <v/>
      </c>
      <c r="E194" s="48" t="str">
        <f t="array" ref="E194">IF($J194="","",INDEX(tx_Product,$J194))</f>
        <v/>
      </c>
      <c r="F194" s="48" t="str">
        <f t="array" ref="F194">IF($J194="","",INDEX(tx_Category,$J194))</f>
        <v/>
      </c>
      <c r="G194" s="48" t="str">
        <f t="array" ref="G194">IF($J194="","",INDEX(tx_Region,$J194))</f>
        <v/>
      </c>
      <c r="H194" s="50" t="str">
        <f t="array" ref="H194">IF($J194="","",INDEX(tx_Qty,$J194))</f>
        <v/>
      </c>
      <c r="I194" s="51" t="str">
        <f t="array" ref="I194">IF($J194="","",INDEX(tx_Total,$J194))</f>
        <v/>
      </c>
      <c r="J194" s="52" t="str">
        <f t="shared" si="2"/>
        <v/>
      </c>
      <c r="L194" s="53">
        <f t="shared" si="3"/>
        <v>185</v>
      </c>
      <c r="M194" s="53">
        <f t="array" ref="M194">IF(AND(OR($B$3="All",INDEX(tx_Region,L194)=$B$3),OR($B$4="All",INDEX(tx_Category,L194)=$B$4),INDEX(tx_Total,L194)&gt;=$B$5),1,0)</f>
        <v>0</v>
      </c>
      <c r="N194" s="53">
        <f t="shared" si="4"/>
        <v>8</v>
      </c>
    </row>
    <row r="195" ht="15.75" customHeight="1">
      <c r="A195" s="47" t="str">
        <f t="shared" si="1"/>
        <v/>
      </c>
      <c r="B195" s="48" t="str">
        <f t="array" ref="B195">IF($J195="","",INDEX(tx_ID,$J195))</f>
        <v/>
      </c>
      <c r="C195" s="49" t="str">
        <f t="array" ref="C195">IF($J195="","",INDEX(tx_Date,$J195))</f>
        <v/>
      </c>
      <c r="D195" s="48" t="str">
        <f t="array" ref="D195">IF($J195="","",INDEX(tx_CustName,$J195))</f>
        <v/>
      </c>
      <c r="E195" s="48" t="str">
        <f t="array" ref="E195">IF($J195="","",INDEX(tx_Product,$J195))</f>
        <v/>
      </c>
      <c r="F195" s="48" t="str">
        <f t="array" ref="F195">IF($J195="","",INDEX(tx_Category,$J195))</f>
        <v/>
      </c>
      <c r="G195" s="48" t="str">
        <f t="array" ref="G195">IF($J195="","",INDEX(tx_Region,$J195))</f>
        <v/>
      </c>
      <c r="H195" s="50" t="str">
        <f t="array" ref="H195">IF($J195="","",INDEX(tx_Qty,$J195))</f>
        <v/>
      </c>
      <c r="I195" s="51" t="str">
        <f t="array" ref="I195">IF($J195="","",INDEX(tx_Total,$J195))</f>
        <v/>
      </c>
      <c r="J195" s="52" t="str">
        <f t="shared" si="2"/>
        <v/>
      </c>
      <c r="L195" s="53">
        <f t="shared" si="3"/>
        <v>186</v>
      </c>
      <c r="M195" s="53">
        <f t="array" ref="M195">IF(AND(OR($B$3="All",INDEX(tx_Region,L195)=$B$3),OR($B$4="All",INDEX(tx_Category,L195)=$B$4),INDEX(tx_Total,L195)&gt;=$B$5),1,0)</f>
        <v>0</v>
      </c>
      <c r="N195" s="53">
        <f t="shared" si="4"/>
        <v>8</v>
      </c>
    </row>
    <row r="196" ht="15.75" customHeight="1">
      <c r="A196" s="47" t="str">
        <f t="shared" si="1"/>
        <v/>
      </c>
      <c r="B196" s="48" t="str">
        <f t="array" ref="B196">IF($J196="","",INDEX(tx_ID,$J196))</f>
        <v/>
      </c>
      <c r="C196" s="49" t="str">
        <f t="array" ref="C196">IF($J196="","",INDEX(tx_Date,$J196))</f>
        <v/>
      </c>
      <c r="D196" s="48" t="str">
        <f t="array" ref="D196">IF($J196="","",INDEX(tx_CustName,$J196))</f>
        <v/>
      </c>
      <c r="E196" s="48" t="str">
        <f t="array" ref="E196">IF($J196="","",INDEX(tx_Product,$J196))</f>
        <v/>
      </c>
      <c r="F196" s="48" t="str">
        <f t="array" ref="F196">IF($J196="","",INDEX(tx_Category,$J196))</f>
        <v/>
      </c>
      <c r="G196" s="48" t="str">
        <f t="array" ref="G196">IF($J196="","",INDEX(tx_Region,$J196))</f>
        <v/>
      </c>
      <c r="H196" s="50" t="str">
        <f t="array" ref="H196">IF($J196="","",INDEX(tx_Qty,$J196))</f>
        <v/>
      </c>
      <c r="I196" s="51" t="str">
        <f t="array" ref="I196">IF($J196="","",INDEX(tx_Total,$J196))</f>
        <v/>
      </c>
      <c r="J196" s="52" t="str">
        <f t="shared" si="2"/>
        <v/>
      </c>
      <c r="L196" s="53">
        <f t="shared" si="3"/>
        <v>187</v>
      </c>
      <c r="M196" s="53">
        <f t="array" ref="M196">IF(AND(OR($B$3="All",INDEX(tx_Region,L196)=$B$3),OR($B$4="All",INDEX(tx_Category,L196)=$B$4),INDEX(tx_Total,L196)&gt;=$B$5),1,0)</f>
        <v>0</v>
      </c>
      <c r="N196" s="53">
        <f t="shared" si="4"/>
        <v>8</v>
      </c>
    </row>
    <row r="197" ht="15.75" customHeight="1">
      <c r="A197" s="47" t="str">
        <f t="shared" si="1"/>
        <v/>
      </c>
      <c r="B197" s="48" t="str">
        <f t="array" ref="B197">IF($J197="","",INDEX(tx_ID,$J197))</f>
        <v/>
      </c>
      <c r="C197" s="49" t="str">
        <f t="array" ref="C197">IF($J197="","",INDEX(tx_Date,$J197))</f>
        <v/>
      </c>
      <c r="D197" s="48" t="str">
        <f t="array" ref="D197">IF($J197="","",INDEX(tx_CustName,$J197))</f>
        <v/>
      </c>
      <c r="E197" s="48" t="str">
        <f t="array" ref="E197">IF($J197="","",INDEX(tx_Product,$J197))</f>
        <v/>
      </c>
      <c r="F197" s="48" t="str">
        <f t="array" ref="F197">IF($J197="","",INDEX(tx_Category,$J197))</f>
        <v/>
      </c>
      <c r="G197" s="48" t="str">
        <f t="array" ref="G197">IF($J197="","",INDEX(tx_Region,$J197))</f>
        <v/>
      </c>
      <c r="H197" s="50" t="str">
        <f t="array" ref="H197">IF($J197="","",INDEX(tx_Qty,$J197))</f>
        <v/>
      </c>
      <c r="I197" s="51" t="str">
        <f t="array" ref="I197">IF($J197="","",INDEX(tx_Total,$J197))</f>
        <v/>
      </c>
      <c r="J197" s="52" t="str">
        <f t="shared" si="2"/>
        <v/>
      </c>
      <c r="L197" s="53">
        <f t="shared" si="3"/>
        <v>188</v>
      </c>
      <c r="M197" s="53">
        <f t="array" ref="M197">IF(AND(OR($B$3="All",INDEX(tx_Region,L197)=$B$3),OR($B$4="All",INDEX(tx_Category,L197)=$B$4),INDEX(tx_Total,L197)&gt;=$B$5),1,0)</f>
        <v>0</v>
      </c>
      <c r="N197" s="53">
        <f t="shared" si="4"/>
        <v>8</v>
      </c>
    </row>
    <row r="198" ht="15.75" customHeight="1">
      <c r="A198" s="47" t="str">
        <f t="shared" si="1"/>
        <v/>
      </c>
      <c r="B198" s="48" t="str">
        <f t="array" ref="B198">IF($J198="","",INDEX(tx_ID,$J198))</f>
        <v/>
      </c>
      <c r="C198" s="49" t="str">
        <f t="array" ref="C198">IF($J198="","",INDEX(tx_Date,$J198))</f>
        <v/>
      </c>
      <c r="D198" s="48" t="str">
        <f t="array" ref="D198">IF($J198="","",INDEX(tx_CustName,$J198))</f>
        <v/>
      </c>
      <c r="E198" s="48" t="str">
        <f t="array" ref="E198">IF($J198="","",INDEX(tx_Product,$J198))</f>
        <v/>
      </c>
      <c r="F198" s="48" t="str">
        <f t="array" ref="F198">IF($J198="","",INDEX(tx_Category,$J198))</f>
        <v/>
      </c>
      <c r="G198" s="48" t="str">
        <f t="array" ref="G198">IF($J198="","",INDEX(tx_Region,$J198))</f>
        <v/>
      </c>
      <c r="H198" s="50" t="str">
        <f t="array" ref="H198">IF($J198="","",INDEX(tx_Qty,$J198))</f>
        <v/>
      </c>
      <c r="I198" s="51" t="str">
        <f t="array" ref="I198">IF($J198="","",INDEX(tx_Total,$J198))</f>
        <v/>
      </c>
      <c r="J198" s="52" t="str">
        <f t="shared" si="2"/>
        <v/>
      </c>
      <c r="L198" s="53">
        <f t="shared" si="3"/>
        <v>189</v>
      </c>
      <c r="M198" s="53">
        <f t="array" ref="M198">IF(AND(OR($B$3="All",INDEX(tx_Region,L198)=$B$3),OR($B$4="All",INDEX(tx_Category,L198)=$B$4),INDEX(tx_Total,L198)&gt;=$B$5),1,0)</f>
        <v>0</v>
      </c>
      <c r="N198" s="53">
        <f t="shared" si="4"/>
        <v>8</v>
      </c>
    </row>
    <row r="199" ht="15.75" customHeight="1">
      <c r="A199" s="47" t="str">
        <f t="shared" si="1"/>
        <v/>
      </c>
      <c r="B199" s="48" t="str">
        <f t="array" ref="B199">IF($J199="","",INDEX(tx_ID,$J199))</f>
        <v/>
      </c>
      <c r="C199" s="49" t="str">
        <f t="array" ref="C199">IF($J199="","",INDEX(tx_Date,$J199))</f>
        <v/>
      </c>
      <c r="D199" s="48" t="str">
        <f t="array" ref="D199">IF($J199="","",INDEX(tx_CustName,$J199))</f>
        <v/>
      </c>
      <c r="E199" s="48" t="str">
        <f t="array" ref="E199">IF($J199="","",INDEX(tx_Product,$J199))</f>
        <v/>
      </c>
      <c r="F199" s="48" t="str">
        <f t="array" ref="F199">IF($J199="","",INDEX(tx_Category,$J199))</f>
        <v/>
      </c>
      <c r="G199" s="48" t="str">
        <f t="array" ref="G199">IF($J199="","",INDEX(tx_Region,$J199))</f>
        <v/>
      </c>
      <c r="H199" s="50" t="str">
        <f t="array" ref="H199">IF($J199="","",INDEX(tx_Qty,$J199))</f>
        <v/>
      </c>
      <c r="I199" s="51" t="str">
        <f t="array" ref="I199">IF($J199="","",INDEX(tx_Total,$J199))</f>
        <v/>
      </c>
      <c r="J199" s="52" t="str">
        <f t="shared" si="2"/>
        <v/>
      </c>
      <c r="L199" s="53">
        <f t="shared" si="3"/>
        <v>190</v>
      </c>
      <c r="M199" s="53">
        <f t="array" ref="M199">IF(AND(OR($B$3="All",INDEX(tx_Region,L199)=$B$3),OR($B$4="All",INDEX(tx_Category,L199)=$B$4),INDEX(tx_Total,L199)&gt;=$B$5),1,0)</f>
        <v>0</v>
      </c>
      <c r="N199" s="53">
        <f t="shared" si="4"/>
        <v>8</v>
      </c>
    </row>
    <row r="200" ht="15.75" customHeight="1">
      <c r="A200" s="47" t="str">
        <f t="shared" si="1"/>
        <v/>
      </c>
      <c r="B200" s="48" t="str">
        <f t="array" ref="B200">IF($J200="","",INDEX(tx_ID,$J200))</f>
        <v/>
      </c>
      <c r="C200" s="49" t="str">
        <f t="array" ref="C200">IF($J200="","",INDEX(tx_Date,$J200))</f>
        <v/>
      </c>
      <c r="D200" s="48" t="str">
        <f t="array" ref="D200">IF($J200="","",INDEX(tx_CustName,$J200))</f>
        <v/>
      </c>
      <c r="E200" s="48" t="str">
        <f t="array" ref="E200">IF($J200="","",INDEX(tx_Product,$J200))</f>
        <v/>
      </c>
      <c r="F200" s="48" t="str">
        <f t="array" ref="F200">IF($J200="","",INDEX(tx_Category,$J200))</f>
        <v/>
      </c>
      <c r="G200" s="48" t="str">
        <f t="array" ref="G200">IF($J200="","",INDEX(tx_Region,$J200))</f>
        <v/>
      </c>
      <c r="H200" s="50" t="str">
        <f t="array" ref="H200">IF($J200="","",INDEX(tx_Qty,$J200))</f>
        <v/>
      </c>
      <c r="I200" s="51" t="str">
        <f t="array" ref="I200">IF($J200="","",INDEX(tx_Total,$J200))</f>
        <v/>
      </c>
      <c r="J200" s="52" t="str">
        <f t="shared" si="2"/>
        <v/>
      </c>
      <c r="L200" s="53">
        <f t="shared" si="3"/>
        <v>191</v>
      </c>
      <c r="M200" s="53">
        <f t="array" ref="M200">IF(AND(OR($B$3="All",INDEX(tx_Region,L200)=$B$3),OR($B$4="All",INDEX(tx_Category,L200)=$B$4),INDEX(tx_Total,L200)&gt;=$B$5),1,0)</f>
        <v>0</v>
      </c>
      <c r="N200" s="53">
        <f t="shared" si="4"/>
        <v>8</v>
      </c>
    </row>
    <row r="201" ht="15.75" customHeight="1">
      <c r="A201" s="47" t="str">
        <f t="shared" si="1"/>
        <v/>
      </c>
      <c r="B201" s="48" t="str">
        <f t="array" ref="B201">IF($J201="","",INDEX(tx_ID,$J201))</f>
        <v/>
      </c>
      <c r="C201" s="49" t="str">
        <f t="array" ref="C201">IF($J201="","",INDEX(tx_Date,$J201))</f>
        <v/>
      </c>
      <c r="D201" s="48" t="str">
        <f t="array" ref="D201">IF($J201="","",INDEX(tx_CustName,$J201))</f>
        <v/>
      </c>
      <c r="E201" s="48" t="str">
        <f t="array" ref="E201">IF($J201="","",INDEX(tx_Product,$J201))</f>
        <v/>
      </c>
      <c r="F201" s="48" t="str">
        <f t="array" ref="F201">IF($J201="","",INDEX(tx_Category,$J201))</f>
        <v/>
      </c>
      <c r="G201" s="48" t="str">
        <f t="array" ref="G201">IF($J201="","",INDEX(tx_Region,$J201))</f>
        <v/>
      </c>
      <c r="H201" s="50" t="str">
        <f t="array" ref="H201">IF($J201="","",INDEX(tx_Qty,$J201))</f>
        <v/>
      </c>
      <c r="I201" s="51" t="str">
        <f t="array" ref="I201">IF($J201="","",INDEX(tx_Total,$J201))</f>
        <v/>
      </c>
      <c r="J201" s="52" t="str">
        <f t="shared" si="2"/>
        <v/>
      </c>
      <c r="L201" s="53">
        <f t="shared" si="3"/>
        <v>192</v>
      </c>
      <c r="M201" s="53">
        <f t="array" ref="M201">IF(AND(OR($B$3="All",INDEX(tx_Region,L201)=$B$3),OR($B$4="All",INDEX(tx_Category,L201)=$B$4),INDEX(tx_Total,L201)&gt;=$B$5),1,0)</f>
        <v>0</v>
      </c>
      <c r="N201" s="53">
        <f t="shared" si="4"/>
        <v>8</v>
      </c>
    </row>
    <row r="202" ht="15.75" customHeight="1">
      <c r="A202" s="47" t="str">
        <f t="shared" si="1"/>
        <v/>
      </c>
      <c r="B202" s="48" t="str">
        <f t="array" ref="B202">IF($J202="","",INDEX(tx_ID,$J202))</f>
        <v/>
      </c>
      <c r="C202" s="49" t="str">
        <f t="array" ref="C202">IF($J202="","",INDEX(tx_Date,$J202))</f>
        <v/>
      </c>
      <c r="D202" s="48" t="str">
        <f t="array" ref="D202">IF($J202="","",INDEX(tx_CustName,$J202))</f>
        <v/>
      </c>
      <c r="E202" s="48" t="str">
        <f t="array" ref="E202">IF($J202="","",INDEX(tx_Product,$J202))</f>
        <v/>
      </c>
      <c r="F202" s="48" t="str">
        <f t="array" ref="F202">IF($J202="","",INDEX(tx_Category,$J202))</f>
        <v/>
      </c>
      <c r="G202" s="48" t="str">
        <f t="array" ref="G202">IF($J202="","",INDEX(tx_Region,$J202))</f>
        <v/>
      </c>
      <c r="H202" s="50" t="str">
        <f t="array" ref="H202">IF($J202="","",INDEX(tx_Qty,$J202))</f>
        <v/>
      </c>
      <c r="I202" s="51" t="str">
        <f t="array" ref="I202">IF($J202="","",INDEX(tx_Total,$J202))</f>
        <v/>
      </c>
      <c r="J202" s="52" t="str">
        <f t="shared" si="2"/>
        <v/>
      </c>
      <c r="L202" s="53">
        <f t="shared" si="3"/>
        <v>193</v>
      </c>
      <c r="M202" s="53">
        <f t="array" ref="M202">IF(AND(OR($B$3="All",INDEX(tx_Region,L202)=$B$3),OR($B$4="All",INDEX(tx_Category,L202)=$B$4),INDEX(tx_Total,L202)&gt;=$B$5),1,0)</f>
        <v>0</v>
      </c>
      <c r="N202" s="53">
        <f t="shared" si="4"/>
        <v>8</v>
      </c>
    </row>
    <row r="203" ht="15.75" customHeight="1">
      <c r="A203" s="47" t="str">
        <f t="shared" si="1"/>
        <v/>
      </c>
      <c r="B203" s="48" t="str">
        <f t="array" ref="B203">IF($J203="","",INDEX(tx_ID,$J203))</f>
        <v/>
      </c>
      <c r="C203" s="49" t="str">
        <f t="array" ref="C203">IF($J203="","",INDEX(tx_Date,$J203))</f>
        <v/>
      </c>
      <c r="D203" s="48" t="str">
        <f t="array" ref="D203">IF($J203="","",INDEX(tx_CustName,$J203))</f>
        <v/>
      </c>
      <c r="E203" s="48" t="str">
        <f t="array" ref="E203">IF($J203="","",INDEX(tx_Product,$J203))</f>
        <v/>
      </c>
      <c r="F203" s="48" t="str">
        <f t="array" ref="F203">IF($J203="","",INDEX(tx_Category,$J203))</f>
        <v/>
      </c>
      <c r="G203" s="48" t="str">
        <f t="array" ref="G203">IF($J203="","",INDEX(tx_Region,$J203))</f>
        <v/>
      </c>
      <c r="H203" s="50" t="str">
        <f t="array" ref="H203">IF($J203="","",INDEX(tx_Qty,$J203))</f>
        <v/>
      </c>
      <c r="I203" s="51" t="str">
        <f t="array" ref="I203">IF($J203="","",INDEX(tx_Total,$J203))</f>
        <v/>
      </c>
      <c r="J203" s="52" t="str">
        <f t="shared" si="2"/>
        <v/>
      </c>
      <c r="L203" s="53">
        <f t="shared" si="3"/>
        <v>194</v>
      </c>
      <c r="M203" s="53">
        <f t="array" ref="M203">IF(AND(OR($B$3="All",INDEX(tx_Region,L203)=$B$3),OR($B$4="All",INDEX(tx_Category,L203)=$B$4),INDEX(tx_Total,L203)&gt;=$B$5),1,0)</f>
        <v>0</v>
      </c>
      <c r="N203" s="53">
        <f t="shared" si="4"/>
        <v>8</v>
      </c>
    </row>
    <row r="204" ht="15.75" customHeight="1">
      <c r="A204" s="47" t="str">
        <f t="shared" si="1"/>
        <v/>
      </c>
      <c r="B204" s="48" t="str">
        <f t="array" ref="B204">IF($J204="","",INDEX(tx_ID,$J204))</f>
        <v/>
      </c>
      <c r="C204" s="49" t="str">
        <f t="array" ref="C204">IF($J204="","",INDEX(tx_Date,$J204))</f>
        <v/>
      </c>
      <c r="D204" s="48" t="str">
        <f t="array" ref="D204">IF($J204="","",INDEX(tx_CustName,$J204))</f>
        <v/>
      </c>
      <c r="E204" s="48" t="str">
        <f t="array" ref="E204">IF($J204="","",INDEX(tx_Product,$J204))</f>
        <v/>
      </c>
      <c r="F204" s="48" t="str">
        <f t="array" ref="F204">IF($J204="","",INDEX(tx_Category,$J204))</f>
        <v/>
      </c>
      <c r="G204" s="48" t="str">
        <f t="array" ref="G204">IF($J204="","",INDEX(tx_Region,$J204))</f>
        <v/>
      </c>
      <c r="H204" s="50" t="str">
        <f t="array" ref="H204">IF($J204="","",INDEX(tx_Qty,$J204))</f>
        <v/>
      </c>
      <c r="I204" s="51" t="str">
        <f t="array" ref="I204">IF($J204="","",INDEX(tx_Total,$J204))</f>
        <v/>
      </c>
      <c r="J204" s="52" t="str">
        <f t="shared" si="2"/>
        <v/>
      </c>
      <c r="L204" s="53">
        <f t="shared" si="3"/>
        <v>195</v>
      </c>
      <c r="M204" s="53">
        <f t="array" ref="M204">IF(AND(OR($B$3="All",INDEX(tx_Region,L204)=$B$3),OR($B$4="All",INDEX(tx_Category,L204)=$B$4),INDEX(tx_Total,L204)&gt;=$B$5),1,0)</f>
        <v>0</v>
      </c>
      <c r="N204" s="53">
        <f t="shared" si="4"/>
        <v>8</v>
      </c>
    </row>
    <row r="205" ht="15.75" customHeight="1">
      <c r="A205" s="47" t="str">
        <f t="shared" si="1"/>
        <v/>
      </c>
      <c r="B205" s="48" t="str">
        <f t="array" ref="B205">IF($J205="","",INDEX(tx_ID,$J205))</f>
        <v/>
      </c>
      <c r="C205" s="49" t="str">
        <f t="array" ref="C205">IF($J205="","",INDEX(tx_Date,$J205))</f>
        <v/>
      </c>
      <c r="D205" s="48" t="str">
        <f t="array" ref="D205">IF($J205="","",INDEX(tx_CustName,$J205))</f>
        <v/>
      </c>
      <c r="E205" s="48" t="str">
        <f t="array" ref="E205">IF($J205="","",INDEX(tx_Product,$J205))</f>
        <v/>
      </c>
      <c r="F205" s="48" t="str">
        <f t="array" ref="F205">IF($J205="","",INDEX(tx_Category,$J205))</f>
        <v/>
      </c>
      <c r="G205" s="48" t="str">
        <f t="array" ref="G205">IF($J205="","",INDEX(tx_Region,$J205))</f>
        <v/>
      </c>
      <c r="H205" s="50" t="str">
        <f t="array" ref="H205">IF($J205="","",INDEX(tx_Qty,$J205))</f>
        <v/>
      </c>
      <c r="I205" s="51" t="str">
        <f t="array" ref="I205">IF($J205="","",INDEX(tx_Total,$J205))</f>
        <v/>
      </c>
      <c r="J205" s="52" t="str">
        <f t="shared" si="2"/>
        <v/>
      </c>
      <c r="L205" s="53">
        <f t="shared" si="3"/>
        <v>196</v>
      </c>
      <c r="M205" s="53">
        <f t="array" ref="M205">IF(AND(OR($B$3="All",INDEX(tx_Region,L205)=$B$3),OR($B$4="All",INDEX(tx_Category,L205)=$B$4),INDEX(tx_Total,L205)&gt;=$B$5),1,0)</f>
        <v>0</v>
      </c>
      <c r="N205" s="53">
        <f t="shared" si="4"/>
        <v>8</v>
      </c>
    </row>
    <row r="206" ht="15.75" customHeight="1">
      <c r="A206" s="47" t="str">
        <f t="shared" si="1"/>
        <v/>
      </c>
      <c r="B206" s="48" t="str">
        <f t="array" ref="B206">IF($J206="","",INDEX(tx_ID,$J206))</f>
        <v/>
      </c>
      <c r="C206" s="49" t="str">
        <f t="array" ref="C206">IF($J206="","",INDEX(tx_Date,$J206))</f>
        <v/>
      </c>
      <c r="D206" s="48" t="str">
        <f t="array" ref="D206">IF($J206="","",INDEX(tx_CustName,$J206))</f>
        <v/>
      </c>
      <c r="E206" s="48" t="str">
        <f t="array" ref="E206">IF($J206="","",INDEX(tx_Product,$J206))</f>
        <v/>
      </c>
      <c r="F206" s="48" t="str">
        <f t="array" ref="F206">IF($J206="","",INDEX(tx_Category,$J206))</f>
        <v/>
      </c>
      <c r="G206" s="48" t="str">
        <f t="array" ref="G206">IF($J206="","",INDEX(tx_Region,$J206))</f>
        <v/>
      </c>
      <c r="H206" s="50" t="str">
        <f t="array" ref="H206">IF($J206="","",INDEX(tx_Qty,$J206))</f>
        <v/>
      </c>
      <c r="I206" s="51" t="str">
        <f t="array" ref="I206">IF($J206="","",INDEX(tx_Total,$J206))</f>
        <v/>
      </c>
      <c r="J206" s="52" t="str">
        <f t="shared" si="2"/>
        <v/>
      </c>
      <c r="L206" s="53">
        <f t="shared" si="3"/>
        <v>197</v>
      </c>
      <c r="M206" s="53">
        <f t="array" ref="M206">IF(AND(OR($B$3="All",INDEX(tx_Region,L206)=$B$3),OR($B$4="All",INDEX(tx_Category,L206)=$B$4),INDEX(tx_Total,L206)&gt;=$B$5),1,0)</f>
        <v>0</v>
      </c>
      <c r="N206" s="53">
        <f t="shared" si="4"/>
        <v>8</v>
      </c>
    </row>
    <row r="207" ht="15.75" customHeight="1">
      <c r="A207" s="47" t="str">
        <f t="shared" si="1"/>
        <v/>
      </c>
      <c r="B207" s="48" t="str">
        <f t="array" ref="B207">IF($J207="","",INDEX(tx_ID,$J207))</f>
        <v/>
      </c>
      <c r="C207" s="49" t="str">
        <f t="array" ref="C207">IF($J207="","",INDEX(tx_Date,$J207))</f>
        <v/>
      </c>
      <c r="D207" s="48" t="str">
        <f t="array" ref="D207">IF($J207="","",INDEX(tx_CustName,$J207))</f>
        <v/>
      </c>
      <c r="E207" s="48" t="str">
        <f t="array" ref="E207">IF($J207="","",INDEX(tx_Product,$J207))</f>
        <v/>
      </c>
      <c r="F207" s="48" t="str">
        <f t="array" ref="F207">IF($J207="","",INDEX(tx_Category,$J207))</f>
        <v/>
      </c>
      <c r="G207" s="48" t="str">
        <f t="array" ref="G207">IF($J207="","",INDEX(tx_Region,$J207))</f>
        <v/>
      </c>
      <c r="H207" s="50" t="str">
        <f t="array" ref="H207">IF($J207="","",INDEX(tx_Qty,$J207))</f>
        <v/>
      </c>
      <c r="I207" s="51" t="str">
        <f t="array" ref="I207">IF($J207="","",INDEX(tx_Total,$J207))</f>
        <v/>
      </c>
      <c r="J207" s="52" t="str">
        <f t="shared" si="2"/>
        <v/>
      </c>
      <c r="L207" s="53">
        <f t="shared" si="3"/>
        <v>198</v>
      </c>
      <c r="M207" s="53">
        <f t="array" ref="M207">IF(AND(OR($B$3="All",INDEX(tx_Region,L207)=$B$3),OR($B$4="All",INDEX(tx_Category,L207)=$B$4),INDEX(tx_Total,L207)&gt;=$B$5),1,0)</f>
        <v>0</v>
      </c>
      <c r="N207" s="53">
        <f t="shared" si="4"/>
        <v>8</v>
      </c>
    </row>
    <row r="208" ht="15.75" customHeight="1">
      <c r="A208" s="47" t="str">
        <f t="shared" si="1"/>
        <v/>
      </c>
      <c r="B208" s="48" t="str">
        <f t="array" ref="B208">IF($J208="","",INDEX(tx_ID,$J208))</f>
        <v/>
      </c>
      <c r="C208" s="49" t="str">
        <f t="array" ref="C208">IF($J208="","",INDEX(tx_Date,$J208))</f>
        <v/>
      </c>
      <c r="D208" s="48" t="str">
        <f t="array" ref="D208">IF($J208="","",INDEX(tx_CustName,$J208))</f>
        <v/>
      </c>
      <c r="E208" s="48" t="str">
        <f t="array" ref="E208">IF($J208="","",INDEX(tx_Product,$J208))</f>
        <v/>
      </c>
      <c r="F208" s="48" t="str">
        <f t="array" ref="F208">IF($J208="","",INDEX(tx_Category,$J208))</f>
        <v/>
      </c>
      <c r="G208" s="48" t="str">
        <f t="array" ref="G208">IF($J208="","",INDEX(tx_Region,$J208))</f>
        <v/>
      </c>
      <c r="H208" s="50" t="str">
        <f t="array" ref="H208">IF($J208="","",INDEX(tx_Qty,$J208))</f>
        <v/>
      </c>
      <c r="I208" s="51" t="str">
        <f t="array" ref="I208">IF($J208="","",INDEX(tx_Total,$J208))</f>
        <v/>
      </c>
      <c r="J208" s="52" t="str">
        <f t="shared" si="2"/>
        <v/>
      </c>
      <c r="L208" s="53">
        <f t="shared" si="3"/>
        <v>199</v>
      </c>
      <c r="M208" s="53">
        <f t="array" ref="M208">IF(AND(OR($B$3="All",INDEX(tx_Region,L208)=$B$3),OR($B$4="All",INDEX(tx_Category,L208)=$B$4),INDEX(tx_Total,L208)&gt;=$B$5),1,0)</f>
        <v>0</v>
      </c>
      <c r="N208" s="53">
        <f t="shared" si="4"/>
        <v>8</v>
      </c>
    </row>
    <row r="209" ht="15.75" customHeight="1">
      <c r="A209" s="47" t="str">
        <f t="shared" si="1"/>
        <v/>
      </c>
      <c r="B209" s="48" t="str">
        <f t="array" ref="B209">IF($J209="","",INDEX(tx_ID,$J209))</f>
        <v/>
      </c>
      <c r="C209" s="49" t="str">
        <f t="array" ref="C209">IF($J209="","",INDEX(tx_Date,$J209))</f>
        <v/>
      </c>
      <c r="D209" s="48" t="str">
        <f t="array" ref="D209">IF($J209="","",INDEX(tx_CustName,$J209))</f>
        <v/>
      </c>
      <c r="E209" s="48" t="str">
        <f t="array" ref="E209">IF($J209="","",INDEX(tx_Product,$J209))</f>
        <v/>
      </c>
      <c r="F209" s="48" t="str">
        <f t="array" ref="F209">IF($J209="","",INDEX(tx_Category,$J209))</f>
        <v/>
      </c>
      <c r="G209" s="48" t="str">
        <f t="array" ref="G209">IF($J209="","",INDEX(tx_Region,$J209))</f>
        <v/>
      </c>
      <c r="H209" s="50" t="str">
        <f t="array" ref="H209">IF($J209="","",INDEX(tx_Qty,$J209))</f>
        <v/>
      </c>
      <c r="I209" s="51" t="str">
        <f t="array" ref="I209">IF($J209="","",INDEX(tx_Total,$J209))</f>
        <v/>
      </c>
      <c r="J209" s="52" t="str">
        <f t="shared" si="2"/>
        <v/>
      </c>
      <c r="L209" s="53">
        <f t="shared" si="3"/>
        <v>200</v>
      </c>
      <c r="M209" s="53">
        <f t="array" ref="M209">IF(AND(OR($B$3="All",INDEX(tx_Region,L209)=$B$3),OR($B$4="All",INDEX(tx_Category,L209)=$B$4),INDEX(tx_Total,L209)&gt;=$B$5),1,0)</f>
        <v>0</v>
      </c>
      <c r="N209" s="53">
        <f t="shared" si="4"/>
        <v>8</v>
      </c>
    </row>
    <row r="210" ht="15.75" customHeight="1">
      <c r="A210" s="47" t="str">
        <f t="shared" si="1"/>
        <v/>
      </c>
      <c r="B210" s="48" t="str">
        <f t="array" ref="B210">IF($J210="","",INDEX(tx_ID,$J210))</f>
        <v/>
      </c>
      <c r="C210" s="49" t="str">
        <f t="array" ref="C210">IF($J210="","",INDEX(tx_Date,$J210))</f>
        <v/>
      </c>
      <c r="D210" s="48" t="str">
        <f t="array" ref="D210">IF($J210="","",INDEX(tx_CustName,$J210))</f>
        <v/>
      </c>
      <c r="E210" s="48" t="str">
        <f t="array" ref="E210">IF($J210="","",INDEX(tx_Product,$J210))</f>
        <v/>
      </c>
      <c r="F210" s="48" t="str">
        <f t="array" ref="F210">IF($J210="","",INDEX(tx_Category,$J210))</f>
        <v/>
      </c>
      <c r="G210" s="48" t="str">
        <f t="array" ref="G210">IF($J210="","",INDEX(tx_Region,$J210))</f>
        <v/>
      </c>
      <c r="H210" s="50" t="str">
        <f t="array" ref="H210">IF($J210="","",INDEX(tx_Qty,$J210))</f>
        <v/>
      </c>
      <c r="I210" s="51" t="str">
        <f t="array" ref="I210">IF($J210="","",INDEX(tx_Total,$J210))</f>
        <v/>
      </c>
      <c r="J210" s="52" t="str">
        <f t="shared" si="2"/>
        <v/>
      </c>
      <c r="L210" s="53">
        <f t="shared" si="3"/>
        <v>201</v>
      </c>
      <c r="M210" s="53">
        <f t="array" ref="M210">IF(AND(OR($B$3="All",INDEX(tx_Region,L210)=$B$3),OR($B$4="All",INDEX(tx_Category,L210)=$B$4),INDEX(tx_Total,L210)&gt;=$B$5),1,0)</f>
        <v>0</v>
      </c>
      <c r="N210" s="53">
        <f t="shared" si="4"/>
        <v>8</v>
      </c>
    </row>
    <row r="211" ht="15.75" customHeight="1">
      <c r="A211" s="47" t="str">
        <f t="shared" si="1"/>
        <v/>
      </c>
      <c r="B211" s="48" t="str">
        <f t="array" ref="B211">IF($J211="","",INDEX(tx_ID,$J211))</f>
        <v/>
      </c>
      <c r="C211" s="49" t="str">
        <f t="array" ref="C211">IF($J211="","",INDEX(tx_Date,$J211))</f>
        <v/>
      </c>
      <c r="D211" s="48" t="str">
        <f t="array" ref="D211">IF($J211="","",INDEX(tx_CustName,$J211))</f>
        <v/>
      </c>
      <c r="E211" s="48" t="str">
        <f t="array" ref="E211">IF($J211="","",INDEX(tx_Product,$J211))</f>
        <v/>
      </c>
      <c r="F211" s="48" t="str">
        <f t="array" ref="F211">IF($J211="","",INDEX(tx_Category,$J211))</f>
        <v/>
      </c>
      <c r="G211" s="48" t="str">
        <f t="array" ref="G211">IF($J211="","",INDEX(tx_Region,$J211))</f>
        <v/>
      </c>
      <c r="H211" s="50" t="str">
        <f t="array" ref="H211">IF($J211="","",INDEX(tx_Qty,$J211))</f>
        <v/>
      </c>
      <c r="I211" s="51" t="str">
        <f t="array" ref="I211">IF($J211="","",INDEX(tx_Total,$J211))</f>
        <v/>
      </c>
      <c r="J211" s="52" t="str">
        <f t="shared" si="2"/>
        <v/>
      </c>
      <c r="L211" s="53">
        <f t="shared" si="3"/>
        <v>202</v>
      </c>
      <c r="M211" s="53">
        <f t="array" ref="M211">IF(AND(OR($B$3="All",INDEX(tx_Region,L211)=$B$3),OR($B$4="All",INDEX(tx_Category,L211)=$B$4),INDEX(tx_Total,L211)&gt;=$B$5),1,0)</f>
        <v>0</v>
      </c>
      <c r="N211" s="53">
        <f t="shared" si="4"/>
        <v>8</v>
      </c>
    </row>
    <row r="212" ht="15.75" customHeight="1">
      <c r="A212" s="47" t="str">
        <f t="shared" si="1"/>
        <v/>
      </c>
      <c r="B212" s="48" t="str">
        <f t="array" ref="B212">IF($J212="","",INDEX(tx_ID,$J212))</f>
        <v/>
      </c>
      <c r="C212" s="49" t="str">
        <f t="array" ref="C212">IF($J212="","",INDEX(tx_Date,$J212))</f>
        <v/>
      </c>
      <c r="D212" s="48" t="str">
        <f t="array" ref="D212">IF($J212="","",INDEX(tx_CustName,$J212))</f>
        <v/>
      </c>
      <c r="E212" s="48" t="str">
        <f t="array" ref="E212">IF($J212="","",INDEX(tx_Product,$J212))</f>
        <v/>
      </c>
      <c r="F212" s="48" t="str">
        <f t="array" ref="F212">IF($J212="","",INDEX(tx_Category,$J212))</f>
        <v/>
      </c>
      <c r="G212" s="48" t="str">
        <f t="array" ref="G212">IF($J212="","",INDEX(tx_Region,$J212))</f>
        <v/>
      </c>
      <c r="H212" s="50" t="str">
        <f t="array" ref="H212">IF($J212="","",INDEX(tx_Qty,$J212))</f>
        <v/>
      </c>
      <c r="I212" s="51" t="str">
        <f t="array" ref="I212">IF($J212="","",INDEX(tx_Total,$J212))</f>
        <v/>
      </c>
      <c r="J212" s="52" t="str">
        <f t="shared" si="2"/>
        <v/>
      </c>
      <c r="L212" s="53">
        <f t="shared" si="3"/>
        <v>203</v>
      </c>
      <c r="M212" s="53">
        <f t="array" ref="M212">IF(AND(OR($B$3="All",INDEX(tx_Region,L212)=$B$3),OR($B$4="All",INDEX(tx_Category,L212)=$B$4),INDEX(tx_Total,L212)&gt;=$B$5),1,0)</f>
        <v>0</v>
      </c>
      <c r="N212" s="53">
        <f t="shared" si="4"/>
        <v>8</v>
      </c>
    </row>
    <row r="213" ht="15.75" customHeight="1">
      <c r="A213" s="47" t="str">
        <f t="shared" si="1"/>
        <v/>
      </c>
      <c r="B213" s="48" t="str">
        <f t="array" ref="B213">IF($J213="","",INDEX(tx_ID,$J213))</f>
        <v/>
      </c>
      <c r="C213" s="49" t="str">
        <f t="array" ref="C213">IF($J213="","",INDEX(tx_Date,$J213))</f>
        <v/>
      </c>
      <c r="D213" s="48" t="str">
        <f t="array" ref="D213">IF($J213="","",INDEX(tx_CustName,$J213))</f>
        <v/>
      </c>
      <c r="E213" s="48" t="str">
        <f t="array" ref="E213">IF($J213="","",INDEX(tx_Product,$J213))</f>
        <v/>
      </c>
      <c r="F213" s="48" t="str">
        <f t="array" ref="F213">IF($J213="","",INDEX(tx_Category,$J213))</f>
        <v/>
      </c>
      <c r="G213" s="48" t="str">
        <f t="array" ref="G213">IF($J213="","",INDEX(tx_Region,$J213))</f>
        <v/>
      </c>
      <c r="H213" s="50" t="str">
        <f t="array" ref="H213">IF($J213="","",INDEX(tx_Qty,$J213))</f>
        <v/>
      </c>
      <c r="I213" s="51" t="str">
        <f t="array" ref="I213">IF($J213="","",INDEX(tx_Total,$J213))</f>
        <v/>
      </c>
      <c r="J213" s="52" t="str">
        <f t="shared" si="2"/>
        <v/>
      </c>
      <c r="L213" s="53">
        <f t="shared" si="3"/>
        <v>204</v>
      </c>
      <c r="M213" s="53">
        <f t="array" ref="M213">IF(AND(OR($B$3="All",INDEX(tx_Region,L213)=$B$3),OR($B$4="All",INDEX(tx_Category,L213)=$B$4),INDEX(tx_Total,L213)&gt;=$B$5),1,0)</f>
        <v>0</v>
      </c>
      <c r="N213" s="53">
        <f t="shared" si="4"/>
        <v>8</v>
      </c>
    </row>
    <row r="214" ht="15.75" customHeight="1">
      <c r="A214" s="47" t="str">
        <f t="shared" si="1"/>
        <v/>
      </c>
      <c r="B214" s="48" t="str">
        <f t="array" ref="B214">IF($J214="","",INDEX(tx_ID,$J214))</f>
        <v/>
      </c>
      <c r="C214" s="49" t="str">
        <f t="array" ref="C214">IF($J214="","",INDEX(tx_Date,$J214))</f>
        <v/>
      </c>
      <c r="D214" s="48" t="str">
        <f t="array" ref="D214">IF($J214="","",INDEX(tx_CustName,$J214))</f>
        <v/>
      </c>
      <c r="E214" s="48" t="str">
        <f t="array" ref="E214">IF($J214="","",INDEX(tx_Product,$J214))</f>
        <v/>
      </c>
      <c r="F214" s="48" t="str">
        <f t="array" ref="F214">IF($J214="","",INDEX(tx_Category,$J214))</f>
        <v/>
      </c>
      <c r="G214" s="48" t="str">
        <f t="array" ref="G214">IF($J214="","",INDEX(tx_Region,$J214))</f>
        <v/>
      </c>
      <c r="H214" s="50" t="str">
        <f t="array" ref="H214">IF($J214="","",INDEX(tx_Qty,$J214))</f>
        <v/>
      </c>
      <c r="I214" s="51" t="str">
        <f t="array" ref="I214">IF($J214="","",INDEX(tx_Total,$J214))</f>
        <v/>
      </c>
      <c r="J214" s="52" t="str">
        <f t="shared" si="2"/>
        <v/>
      </c>
      <c r="L214" s="53">
        <f t="shared" si="3"/>
        <v>205</v>
      </c>
      <c r="M214" s="53">
        <f t="array" ref="M214">IF(AND(OR($B$3="All",INDEX(tx_Region,L214)=$B$3),OR($B$4="All",INDEX(tx_Category,L214)=$B$4),INDEX(tx_Total,L214)&gt;=$B$5),1,0)</f>
        <v>0</v>
      </c>
      <c r="N214" s="53">
        <f t="shared" si="4"/>
        <v>8</v>
      </c>
    </row>
    <row r="215" ht="15.75" customHeight="1">
      <c r="A215" s="47" t="str">
        <f t="shared" si="1"/>
        <v/>
      </c>
      <c r="B215" s="48" t="str">
        <f t="array" ref="B215">IF($J215="","",INDEX(tx_ID,$J215))</f>
        <v/>
      </c>
      <c r="C215" s="49" t="str">
        <f t="array" ref="C215">IF($J215="","",INDEX(tx_Date,$J215))</f>
        <v/>
      </c>
      <c r="D215" s="48" t="str">
        <f t="array" ref="D215">IF($J215="","",INDEX(tx_CustName,$J215))</f>
        <v/>
      </c>
      <c r="E215" s="48" t="str">
        <f t="array" ref="E215">IF($J215="","",INDEX(tx_Product,$J215))</f>
        <v/>
      </c>
      <c r="F215" s="48" t="str">
        <f t="array" ref="F215">IF($J215="","",INDEX(tx_Category,$J215))</f>
        <v/>
      </c>
      <c r="G215" s="48" t="str">
        <f t="array" ref="G215">IF($J215="","",INDEX(tx_Region,$J215))</f>
        <v/>
      </c>
      <c r="H215" s="50" t="str">
        <f t="array" ref="H215">IF($J215="","",INDEX(tx_Qty,$J215))</f>
        <v/>
      </c>
      <c r="I215" s="51" t="str">
        <f t="array" ref="I215">IF($J215="","",INDEX(tx_Total,$J215))</f>
        <v/>
      </c>
      <c r="J215" s="52" t="str">
        <f t="shared" si="2"/>
        <v/>
      </c>
      <c r="L215" s="53">
        <f t="shared" si="3"/>
        <v>206</v>
      </c>
      <c r="M215" s="53">
        <f t="array" ref="M215">IF(AND(OR($B$3="All",INDEX(tx_Region,L215)=$B$3),OR($B$4="All",INDEX(tx_Category,L215)=$B$4),INDEX(tx_Total,L215)&gt;=$B$5),1,0)</f>
        <v>0</v>
      </c>
      <c r="N215" s="53">
        <f t="shared" si="4"/>
        <v>8</v>
      </c>
    </row>
    <row r="216" ht="15.75" customHeight="1">
      <c r="A216" s="47" t="str">
        <f t="shared" si="1"/>
        <v/>
      </c>
      <c r="B216" s="48" t="str">
        <f t="array" ref="B216">IF($J216="","",INDEX(tx_ID,$J216))</f>
        <v/>
      </c>
      <c r="C216" s="49" t="str">
        <f t="array" ref="C216">IF($J216="","",INDEX(tx_Date,$J216))</f>
        <v/>
      </c>
      <c r="D216" s="48" t="str">
        <f t="array" ref="D216">IF($J216="","",INDEX(tx_CustName,$J216))</f>
        <v/>
      </c>
      <c r="E216" s="48" t="str">
        <f t="array" ref="E216">IF($J216="","",INDEX(tx_Product,$J216))</f>
        <v/>
      </c>
      <c r="F216" s="48" t="str">
        <f t="array" ref="F216">IF($J216="","",INDEX(tx_Category,$J216))</f>
        <v/>
      </c>
      <c r="G216" s="48" t="str">
        <f t="array" ref="G216">IF($J216="","",INDEX(tx_Region,$J216))</f>
        <v/>
      </c>
      <c r="H216" s="50" t="str">
        <f t="array" ref="H216">IF($J216="","",INDEX(tx_Qty,$J216))</f>
        <v/>
      </c>
      <c r="I216" s="51" t="str">
        <f t="array" ref="I216">IF($J216="","",INDEX(tx_Total,$J216))</f>
        <v/>
      </c>
      <c r="J216" s="52" t="str">
        <f t="shared" si="2"/>
        <v/>
      </c>
      <c r="L216" s="53">
        <f t="shared" si="3"/>
        <v>207</v>
      </c>
      <c r="M216" s="53">
        <f t="array" ref="M216">IF(AND(OR($B$3="All",INDEX(tx_Region,L216)=$B$3),OR($B$4="All",INDEX(tx_Category,L216)=$B$4),INDEX(tx_Total,L216)&gt;=$B$5),1,0)</f>
        <v>0</v>
      </c>
      <c r="N216" s="53">
        <f t="shared" si="4"/>
        <v>8</v>
      </c>
    </row>
    <row r="217" ht="15.75" customHeight="1">
      <c r="A217" s="47" t="str">
        <f t="shared" si="1"/>
        <v/>
      </c>
      <c r="B217" s="48" t="str">
        <f t="array" ref="B217">IF($J217="","",INDEX(tx_ID,$J217))</f>
        <v/>
      </c>
      <c r="C217" s="49" t="str">
        <f t="array" ref="C217">IF($J217="","",INDEX(tx_Date,$J217))</f>
        <v/>
      </c>
      <c r="D217" s="48" t="str">
        <f t="array" ref="D217">IF($J217="","",INDEX(tx_CustName,$J217))</f>
        <v/>
      </c>
      <c r="E217" s="48" t="str">
        <f t="array" ref="E217">IF($J217="","",INDEX(tx_Product,$J217))</f>
        <v/>
      </c>
      <c r="F217" s="48" t="str">
        <f t="array" ref="F217">IF($J217="","",INDEX(tx_Category,$J217))</f>
        <v/>
      </c>
      <c r="G217" s="48" t="str">
        <f t="array" ref="G217">IF($J217="","",INDEX(tx_Region,$J217))</f>
        <v/>
      </c>
      <c r="H217" s="50" t="str">
        <f t="array" ref="H217">IF($J217="","",INDEX(tx_Qty,$J217))</f>
        <v/>
      </c>
      <c r="I217" s="51" t="str">
        <f t="array" ref="I217">IF($J217="","",INDEX(tx_Total,$J217))</f>
        <v/>
      </c>
      <c r="J217" s="52" t="str">
        <f t="shared" si="2"/>
        <v/>
      </c>
      <c r="L217" s="53">
        <f t="shared" si="3"/>
        <v>208</v>
      </c>
      <c r="M217" s="53">
        <f t="array" ref="M217">IF(AND(OR($B$3="All",INDEX(tx_Region,L217)=$B$3),OR($B$4="All",INDEX(tx_Category,L217)=$B$4),INDEX(tx_Total,L217)&gt;=$B$5),1,0)</f>
        <v>0</v>
      </c>
      <c r="N217" s="53">
        <f t="shared" si="4"/>
        <v>8</v>
      </c>
    </row>
    <row r="218" ht="15.75" customHeight="1">
      <c r="A218" s="47" t="str">
        <f t="shared" si="1"/>
        <v/>
      </c>
      <c r="B218" s="48" t="str">
        <f t="array" ref="B218">IF($J218="","",INDEX(tx_ID,$J218))</f>
        <v/>
      </c>
      <c r="C218" s="49" t="str">
        <f t="array" ref="C218">IF($J218="","",INDEX(tx_Date,$J218))</f>
        <v/>
      </c>
      <c r="D218" s="48" t="str">
        <f t="array" ref="D218">IF($J218="","",INDEX(tx_CustName,$J218))</f>
        <v/>
      </c>
      <c r="E218" s="48" t="str">
        <f t="array" ref="E218">IF($J218="","",INDEX(tx_Product,$J218))</f>
        <v/>
      </c>
      <c r="F218" s="48" t="str">
        <f t="array" ref="F218">IF($J218="","",INDEX(tx_Category,$J218))</f>
        <v/>
      </c>
      <c r="G218" s="48" t="str">
        <f t="array" ref="G218">IF($J218="","",INDEX(tx_Region,$J218))</f>
        <v/>
      </c>
      <c r="H218" s="50" t="str">
        <f t="array" ref="H218">IF($J218="","",INDEX(tx_Qty,$J218))</f>
        <v/>
      </c>
      <c r="I218" s="51" t="str">
        <f t="array" ref="I218">IF($J218="","",INDEX(tx_Total,$J218))</f>
        <v/>
      </c>
      <c r="J218" s="52" t="str">
        <f t="shared" si="2"/>
        <v/>
      </c>
      <c r="L218" s="53">
        <f t="shared" si="3"/>
        <v>209</v>
      </c>
      <c r="M218" s="53">
        <f t="array" ref="M218">IF(AND(OR($B$3="All",INDEX(tx_Region,L218)=$B$3),OR($B$4="All",INDEX(tx_Category,L218)=$B$4),INDEX(tx_Total,L218)&gt;=$B$5),1,0)</f>
        <v>0</v>
      </c>
      <c r="N218" s="53">
        <f t="shared" si="4"/>
        <v>8</v>
      </c>
    </row>
    <row r="219" ht="15.75" customHeight="1">
      <c r="A219" s="47" t="str">
        <f t="shared" si="1"/>
        <v/>
      </c>
      <c r="B219" s="48" t="str">
        <f t="array" ref="B219">IF($J219="","",INDEX(tx_ID,$J219))</f>
        <v/>
      </c>
      <c r="C219" s="49" t="str">
        <f t="array" ref="C219">IF($J219="","",INDEX(tx_Date,$J219))</f>
        <v/>
      </c>
      <c r="D219" s="48" t="str">
        <f t="array" ref="D219">IF($J219="","",INDEX(tx_CustName,$J219))</f>
        <v/>
      </c>
      <c r="E219" s="48" t="str">
        <f t="array" ref="E219">IF($J219="","",INDEX(tx_Product,$J219))</f>
        <v/>
      </c>
      <c r="F219" s="48" t="str">
        <f t="array" ref="F219">IF($J219="","",INDEX(tx_Category,$J219))</f>
        <v/>
      </c>
      <c r="G219" s="48" t="str">
        <f t="array" ref="G219">IF($J219="","",INDEX(tx_Region,$J219))</f>
        <v/>
      </c>
      <c r="H219" s="50" t="str">
        <f t="array" ref="H219">IF($J219="","",INDEX(tx_Qty,$J219))</f>
        <v/>
      </c>
      <c r="I219" s="51" t="str">
        <f t="array" ref="I219">IF($J219="","",INDEX(tx_Total,$J219))</f>
        <v/>
      </c>
      <c r="J219" s="52" t="str">
        <f t="shared" si="2"/>
        <v/>
      </c>
      <c r="L219" s="53">
        <f t="shared" si="3"/>
        <v>210</v>
      </c>
      <c r="M219" s="53">
        <f t="array" ref="M219">IF(AND(OR($B$3="All",INDEX(tx_Region,L219)=$B$3),OR($B$4="All",INDEX(tx_Category,L219)=$B$4),INDEX(tx_Total,L219)&gt;=$B$5),1,0)</f>
        <v>0</v>
      </c>
      <c r="N219" s="53">
        <f t="shared" si="4"/>
        <v>8</v>
      </c>
    </row>
    <row r="220" ht="15.75" customHeight="1">
      <c r="A220" s="47" t="str">
        <f t="shared" si="1"/>
        <v/>
      </c>
      <c r="B220" s="48" t="str">
        <f t="array" ref="B220">IF($J220="","",INDEX(tx_ID,$J220))</f>
        <v/>
      </c>
      <c r="C220" s="49" t="str">
        <f t="array" ref="C220">IF($J220="","",INDEX(tx_Date,$J220))</f>
        <v/>
      </c>
      <c r="D220" s="48" t="str">
        <f t="array" ref="D220">IF($J220="","",INDEX(tx_CustName,$J220))</f>
        <v/>
      </c>
      <c r="E220" s="48" t="str">
        <f t="array" ref="E220">IF($J220="","",INDEX(tx_Product,$J220))</f>
        <v/>
      </c>
      <c r="F220" s="48" t="str">
        <f t="array" ref="F220">IF($J220="","",INDEX(tx_Category,$J220))</f>
        <v/>
      </c>
      <c r="G220" s="48" t="str">
        <f t="array" ref="G220">IF($J220="","",INDEX(tx_Region,$J220))</f>
        <v/>
      </c>
      <c r="H220" s="50" t="str">
        <f t="array" ref="H220">IF($J220="","",INDEX(tx_Qty,$J220))</f>
        <v/>
      </c>
      <c r="I220" s="51" t="str">
        <f t="array" ref="I220">IF($J220="","",INDEX(tx_Total,$J220))</f>
        <v/>
      </c>
      <c r="J220" s="52" t="str">
        <f t="shared" si="2"/>
        <v/>
      </c>
      <c r="L220" s="53">
        <f t="shared" si="3"/>
        <v>211</v>
      </c>
      <c r="M220" s="53">
        <f t="array" ref="M220">IF(AND(OR($B$3="All",INDEX(tx_Region,L220)=$B$3),OR($B$4="All",INDEX(tx_Category,L220)=$B$4),INDEX(tx_Total,L220)&gt;=$B$5),1,0)</f>
        <v>0</v>
      </c>
      <c r="N220" s="53">
        <f t="shared" si="4"/>
        <v>8</v>
      </c>
    </row>
    <row r="221" ht="15.75" customHeight="1">
      <c r="A221" s="47" t="str">
        <f t="shared" si="1"/>
        <v/>
      </c>
      <c r="B221" s="48" t="str">
        <f t="array" ref="B221">IF($J221="","",INDEX(tx_ID,$J221))</f>
        <v/>
      </c>
      <c r="C221" s="49" t="str">
        <f t="array" ref="C221">IF($J221="","",INDEX(tx_Date,$J221))</f>
        <v/>
      </c>
      <c r="D221" s="48" t="str">
        <f t="array" ref="D221">IF($J221="","",INDEX(tx_CustName,$J221))</f>
        <v/>
      </c>
      <c r="E221" s="48" t="str">
        <f t="array" ref="E221">IF($J221="","",INDEX(tx_Product,$J221))</f>
        <v/>
      </c>
      <c r="F221" s="48" t="str">
        <f t="array" ref="F221">IF($J221="","",INDEX(tx_Category,$J221))</f>
        <v/>
      </c>
      <c r="G221" s="48" t="str">
        <f t="array" ref="G221">IF($J221="","",INDEX(tx_Region,$J221))</f>
        <v/>
      </c>
      <c r="H221" s="50" t="str">
        <f t="array" ref="H221">IF($J221="","",INDEX(tx_Qty,$J221))</f>
        <v/>
      </c>
      <c r="I221" s="51" t="str">
        <f t="array" ref="I221">IF($J221="","",INDEX(tx_Total,$J221))</f>
        <v/>
      </c>
      <c r="J221" s="52" t="str">
        <f t="shared" si="2"/>
        <v/>
      </c>
      <c r="L221" s="53">
        <f t="shared" si="3"/>
        <v>212</v>
      </c>
      <c r="M221" s="53">
        <f t="array" ref="M221">IF(AND(OR($B$3="All",INDEX(tx_Region,L221)=$B$3),OR($B$4="All",INDEX(tx_Category,L221)=$B$4),INDEX(tx_Total,L221)&gt;=$B$5),1,0)</f>
        <v>0</v>
      </c>
      <c r="N221" s="53">
        <f t="shared" si="4"/>
        <v>8</v>
      </c>
    </row>
    <row r="222" ht="15.75" customHeight="1">
      <c r="A222" s="47" t="str">
        <f t="shared" si="1"/>
        <v/>
      </c>
      <c r="B222" s="48" t="str">
        <f t="array" ref="B222">IF($J222="","",INDEX(tx_ID,$J222))</f>
        <v/>
      </c>
      <c r="C222" s="49" t="str">
        <f t="array" ref="C222">IF($J222="","",INDEX(tx_Date,$J222))</f>
        <v/>
      </c>
      <c r="D222" s="48" t="str">
        <f t="array" ref="D222">IF($J222="","",INDEX(tx_CustName,$J222))</f>
        <v/>
      </c>
      <c r="E222" s="48" t="str">
        <f t="array" ref="E222">IF($J222="","",INDEX(tx_Product,$J222))</f>
        <v/>
      </c>
      <c r="F222" s="48" t="str">
        <f t="array" ref="F222">IF($J222="","",INDEX(tx_Category,$J222))</f>
        <v/>
      </c>
      <c r="G222" s="48" t="str">
        <f t="array" ref="G222">IF($J222="","",INDEX(tx_Region,$J222))</f>
        <v/>
      </c>
      <c r="H222" s="50" t="str">
        <f t="array" ref="H222">IF($J222="","",INDEX(tx_Qty,$J222))</f>
        <v/>
      </c>
      <c r="I222" s="51" t="str">
        <f t="array" ref="I222">IF($J222="","",INDEX(tx_Total,$J222))</f>
        <v/>
      </c>
      <c r="J222" s="52" t="str">
        <f t="shared" si="2"/>
        <v/>
      </c>
      <c r="L222" s="53">
        <f t="shared" si="3"/>
        <v>213</v>
      </c>
      <c r="M222" s="53">
        <f t="array" ref="M222">IF(AND(OR($B$3="All",INDEX(tx_Region,L222)=$B$3),OR($B$4="All",INDEX(tx_Category,L222)=$B$4),INDEX(tx_Total,L222)&gt;=$B$5),1,0)</f>
        <v>0</v>
      </c>
      <c r="N222" s="53">
        <f t="shared" si="4"/>
        <v>8</v>
      </c>
    </row>
    <row r="223" ht="15.75" customHeight="1">
      <c r="A223" s="47" t="str">
        <f t="shared" si="1"/>
        <v/>
      </c>
      <c r="B223" s="48" t="str">
        <f t="array" ref="B223">IF($J223="","",INDEX(tx_ID,$J223))</f>
        <v/>
      </c>
      <c r="C223" s="49" t="str">
        <f t="array" ref="C223">IF($J223="","",INDEX(tx_Date,$J223))</f>
        <v/>
      </c>
      <c r="D223" s="48" t="str">
        <f t="array" ref="D223">IF($J223="","",INDEX(tx_CustName,$J223))</f>
        <v/>
      </c>
      <c r="E223" s="48" t="str">
        <f t="array" ref="E223">IF($J223="","",INDEX(tx_Product,$J223))</f>
        <v/>
      </c>
      <c r="F223" s="48" t="str">
        <f t="array" ref="F223">IF($J223="","",INDEX(tx_Category,$J223))</f>
        <v/>
      </c>
      <c r="G223" s="48" t="str">
        <f t="array" ref="G223">IF($J223="","",INDEX(tx_Region,$J223))</f>
        <v/>
      </c>
      <c r="H223" s="50" t="str">
        <f t="array" ref="H223">IF($J223="","",INDEX(tx_Qty,$J223))</f>
        <v/>
      </c>
      <c r="I223" s="51" t="str">
        <f t="array" ref="I223">IF($J223="","",INDEX(tx_Total,$J223))</f>
        <v/>
      </c>
      <c r="J223" s="52" t="str">
        <f t="shared" si="2"/>
        <v/>
      </c>
      <c r="L223" s="53">
        <f t="shared" si="3"/>
        <v>214</v>
      </c>
      <c r="M223" s="53">
        <f t="array" ref="M223">IF(AND(OR($B$3="All",INDEX(tx_Region,L223)=$B$3),OR($B$4="All",INDEX(tx_Category,L223)=$B$4),INDEX(tx_Total,L223)&gt;=$B$5),1,0)</f>
        <v>0</v>
      </c>
      <c r="N223" s="53">
        <f t="shared" si="4"/>
        <v>8</v>
      </c>
    </row>
    <row r="224" ht="15.75" customHeight="1">
      <c r="A224" s="47" t="str">
        <f t="shared" si="1"/>
        <v/>
      </c>
      <c r="B224" s="48" t="str">
        <f t="array" ref="B224">IF($J224="","",INDEX(tx_ID,$J224))</f>
        <v/>
      </c>
      <c r="C224" s="49" t="str">
        <f t="array" ref="C224">IF($J224="","",INDEX(tx_Date,$J224))</f>
        <v/>
      </c>
      <c r="D224" s="48" t="str">
        <f t="array" ref="D224">IF($J224="","",INDEX(tx_CustName,$J224))</f>
        <v/>
      </c>
      <c r="E224" s="48" t="str">
        <f t="array" ref="E224">IF($J224="","",INDEX(tx_Product,$J224))</f>
        <v/>
      </c>
      <c r="F224" s="48" t="str">
        <f t="array" ref="F224">IF($J224="","",INDEX(tx_Category,$J224))</f>
        <v/>
      </c>
      <c r="G224" s="48" t="str">
        <f t="array" ref="G224">IF($J224="","",INDEX(tx_Region,$J224))</f>
        <v/>
      </c>
      <c r="H224" s="50" t="str">
        <f t="array" ref="H224">IF($J224="","",INDEX(tx_Qty,$J224))</f>
        <v/>
      </c>
      <c r="I224" s="51" t="str">
        <f t="array" ref="I224">IF($J224="","",INDEX(tx_Total,$J224))</f>
        <v/>
      </c>
      <c r="J224" s="52" t="str">
        <f t="shared" si="2"/>
        <v/>
      </c>
      <c r="L224" s="53">
        <f t="shared" si="3"/>
        <v>215</v>
      </c>
      <c r="M224" s="53">
        <f t="array" ref="M224">IF(AND(OR($B$3="All",INDEX(tx_Region,L224)=$B$3),OR($B$4="All",INDEX(tx_Category,L224)=$B$4),INDEX(tx_Total,L224)&gt;=$B$5),1,0)</f>
        <v>1</v>
      </c>
      <c r="N224" s="53">
        <f t="shared" si="4"/>
        <v>9</v>
      </c>
    </row>
    <row r="225" ht="15.75" customHeight="1">
      <c r="A225" s="47" t="str">
        <f t="shared" si="1"/>
        <v/>
      </c>
      <c r="B225" s="48" t="str">
        <f t="array" ref="B225">IF($J225="","",INDEX(tx_ID,$J225))</f>
        <v/>
      </c>
      <c r="C225" s="49" t="str">
        <f t="array" ref="C225">IF($J225="","",INDEX(tx_Date,$J225))</f>
        <v/>
      </c>
      <c r="D225" s="48" t="str">
        <f t="array" ref="D225">IF($J225="","",INDEX(tx_CustName,$J225))</f>
        <v/>
      </c>
      <c r="E225" s="48" t="str">
        <f t="array" ref="E225">IF($J225="","",INDEX(tx_Product,$J225))</f>
        <v/>
      </c>
      <c r="F225" s="48" t="str">
        <f t="array" ref="F225">IF($J225="","",INDEX(tx_Category,$J225))</f>
        <v/>
      </c>
      <c r="G225" s="48" t="str">
        <f t="array" ref="G225">IF($J225="","",INDEX(tx_Region,$J225))</f>
        <v/>
      </c>
      <c r="H225" s="50" t="str">
        <f t="array" ref="H225">IF($J225="","",INDEX(tx_Qty,$J225))</f>
        <v/>
      </c>
      <c r="I225" s="51" t="str">
        <f t="array" ref="I225">IF($J225="","",INDEX(tx_Total,$J225))</f>
        <v/>
      </c>
      <c r="J225" s="52" t="str">
        <f t="shared" si="2"/>
        <v/>
      </c>
      <c r="L225" s="53">
        <f t="shared" si="3"/>
        <v>216</v>
      </c>
      <c r="M225" s="53">
        <f t="array" ref="M225">IF(AND(OR($B$3="All",INDEX(tx_Region,L225)=$B$3),OR($B$4="All",INDEX(tx_Category,L225)=$B$4),INDEX(tx_Total,L225)&gt;=$B$5),1,0)</f>
        <v>0</v>
      </c>
      <c r="N225" s="53">
        <f t="shared" si="4"/>
        <v>9</v>
      </c>
    </row>
    <row r="226" ht="15.75" customHeight="1">
      <c r="A226" s="47" t="str">
        <f t="shared" si="1"/>
        <v/>
      </c>
      <c r="B226" s="48" t="str">
        <f t="array" ref="B226">IF($J226="","",INDEX(tx_ID,$J226))</f>
        <v/>
      </c>
      <c r="C226" s="49" t="str">
        <f t="array" ref="C226">IF($J226="","",INDEX(tx_Date,$J226))</f>
        <v/>
      </c>
      <c r="D226" s="48" t="str">
        <f t="array" ref="D226">IF($J226="","",INDEX(tx_CustName,$J226))</f>
        <v/>
      </c>
      <c r="E226" s="48" t="str">
        <f t="array" ref="E226">IF($J226="","",INDEX(tx_Product,$J226))</f>
        <v/>
      </c>
      <c r="F226" s="48" t="str">
        <f t="array" ref="F226">IF($J226="","",INDEX(tx_Category,$J226))</f>
        <v/>
      </c>
      <c r="G226" s="48" t="str">
        <f t="array" ref="G226">IF($J226="","",INDEX(tx_Region,$J226))</f>
        <v/>
      </c>
      <c r="H226" s="50" t="str">
        <f t="array" ref="H226">IF($J226="","",INDEX(tx_Qty,$J226))</f>
        <v/>
      </c>
      <c r="I226" s="51" t="str">
        <f t="array" ref="I226">IF($J226="","",INDEX(tx_Total,$J226))</f>
        <v/>
      </c>
      <c r="J226" s="52" t="str">
        <f t="shared" si="2"/>
        <v/>
      </c>
      <c r="L226" s="53">
        <f t="shared" si="3"/>
        <v>217</v>
      </c>
      <c r="M226" s="53">
        <f t="array" ref="M226">IF(AND(OR($B$3="All",INDEX(tx_Region,L226)=$B$3),OR($B$4="All",INDEX(tx_Category,L226)=$B$4),INDEX(tx_Total,L226)&gt;=$B$5),1,0)</f>
        <v>0</v>
      </c>
      <c r="N226" s="53">
        <f t="shared" si="4"/>
        <v>9</v>
      </c>
    </row>
    <row r="227" ht="15.75" customHeight="1">
      <c r="A227" s="47" t="str">
        <f t="shared" si="1"/>
        <v/>
      </c>
      <c r="B227" s="48" t="str">
        <f t="array" ref="B227">IF($J227="","",INDEX(tx_ID,$J227))</f>
        <v/>
      </c>
      <c r="C227" s="49" t="str">
        <f t="array" ref="C227">IF($J227="","",INDEX(tx_Date,$J227))</f>
        <v/>
      </c>
      <c r="D227" s="48" t="str">
        <f t="array" ref="D227">IF($J227="","",INDEX(tx_CustName,$J227))</f>
        <v/>
      </c>
      <c r="E227" s="48" t="str">
        <f t="array" ref="E227">IF($J227="","",INDEX(tx_Product,$J227))</f>
        <v/>
      </c>
      <c r="F227" s="48" t="str">
        <f t="array" ref="F227">IF($J227="","",INDEX(tx_Category,$J227))</f>
        <v/>
      </c>
      <c r="G227" s="48" t="str">
        <f t="array" ref="G227">IF($J227="","",INDEX(tx_Region,$J227))</f>
        <v/>
      </c>
      <c r="H227" s="50" t="str">
        <f t="array" ref="H227">IF($J227="","",INDEX(tx_Qty,$J227))</f>
        <v/>
      </c>
      <c r="I227" s="51" t="str">
        <f t="array" ref="I227">IF($J227="","",INDEX(tx_Total,$J227))</f>
        <v/>
      </c>
      <c r="J227" s="52" t="str">
        <f t="shared" si="2"/>
        <v/>
      </c>
      <c r="L227" s="53">
        <f t="shared" si="3"/>
        <v>218</v>
      </c>
      <c r="M227" s="53">
        <f t="array" ref="M227">IF(AND(OR($B$3="All",INDEX(tx_Region,L227)=$B$3),OR($B$4="All",INDEX(tx_Category,L227)=$B$4),INDEX(tx_Total,L227)&gt;=$B$5),1,0)</f>
        <v>0</v>
      </c>
      <c r="N227" s="53">
        <f t="shared" si="4"/>
        <v>9</v>
      </c>
    </row>
    <row r="228" ht="15.75" customHeight="1">
      <c r="A228" s="47" t="str">
        <f t="shared" si="1"/>
        <v/>
      </c>
      <c r="B228" s="48" t="str">
        <f t="array" ref="B228">IF($J228="","",INDEX(tx_ID,$J228))</f>
        <v/>
      </c>
      <c r="C228" s="49" t="str">
        <f t="array" ref="C228">IF($J228="","",INDEX(tx_Date,$J228))</f>
        <v/>
      </c>
      <c r="D228" s="48" t="str">
        <f t="array" ref="D228">IF($J228="","",INDEX(tx_CustName,$J228))</f>
        <v/>
      </c>
      <c r="E228" s="48" t="str">
        <f t="array" ref="E228">IF($J228="","",INDEX(tx_Product,$J228))</f>
        <v/>
      </c>
      <c r="F228" s="48" t="str">
        <f t="array" ref="F228">IF($J228="","",INDEX(tx_Category,$J228))</f>
        <v/>
      </c>
      <c r="G228" s="48" t="str">
        <f t="array" ref="G228">IF($J228="","",INDEX(tx_Region,$J228))</f>
        <v/>
      </c>
      <c r="H228" s="50" t="str">
        <f t="array" ref="H228">IF($J228="","",INDEX(tx_Qty,$J228))</f>
        <v/>
      </c>
      <c r="I228" s="51" t="str">
        <f t="array" ref="I228">IF($J228="","",INDEX(tx_Total,$J228))</f>
        <v/>
      </c>
      <c r="J228" s="52" t="str">
        <f t="shared" si="2"/>
        <v/>
      </c>
      <c r="L228" s="53">
        <f t="shared" si="3"/>
        <v>219</v>
      </c>
      <c r="M228" s="53">
        <f t="array" ref="M228">IF(AND(OR($B$3="All",INDEX(tx_Region,L228)=$B$3),OR($B$4="All",INDEX(tx_Category,L228)=$B$4),INDEX(tx_Total,L228)&gt;=$B$5),1,0)</f>
        <v>0</v>
      </c>
      <c r="N228" s="53">
        <f t="shared" si="4"/>
        <v>9</v>
      </c>
    </row>
    <row r="229" ht="15.75" customHeight="1">
      <c r="A229" s="47" t="str">
        <f t="shared" si="1"/>
        <v/>
      </c>
      <c r="B229" s="48" t="str">
        <f t="array" ref="B229">IF($J229="","",INDEX(tx_ID,$J229))</f>
        <v/>
      </c>
      <c r="C229" s="49" t="str">
        <f t="array" ref="C229">IF($J229="","",INDEX(tx_Date,$J229))</f>
        <v/>
      </c>
      <c r="D229" s="48" t="str">
        <f t="array" ref="D229">IF($J229="","",INDEX(tx_CustName,$J229))</f>
        <v/>
      </c>
      <c r="E229" s="48" t="str">
        <f t="array" ref="E229">IF($J229="","",INDEX(tx_Product,$J229))</f>
        <v/>
      </c>
      <c r="F229" s="48" t="str">
        <f t="array" ref="F229">IF($J229="","",INDEX(tx_Category,$J229))</f>
        <v/>
      </c>
      <c r="G229" s="48" t="str">
        <f t="array" ref="G229">IF($J229="","",INDEX(tx_Region,$J229))</f>
        <v/>
      </c>
      <c r="H229" s="50" t="str">
        <f t="array" ref="H229">IF($J229="","",INDEX(tx_Qty,$J229))</f>
        <v/>
      </c>
      <c r="I229" s="51" t="str">
        <f t="array" ref="I229">IF($J229="","",INDEX(tx_Total,$J229))</f>
        <v/>
      </c>
      <c r="J229" s="52" t="str">
        <f t="shared" si="2"/>
        <v/>
      </c>
      <c r="L229" s="53">
        <f t="shared" si="3"/>
        <v>220</v>
      </c>
      <c r="M229" s="53">
        <f t="array" ref="M229">IF(AND(OR($B$3="All",INDEX(tx_Region,L229)=$B$3),OR($B$4="All",INDEX(tx_Category,L229)=$B$4),INDEX(tx_Total,L229)&gt;=$B$5),1,0)</f>
        <v>0</v>
      </c>
      <c r="N229" s="53">
        <f t="shared" si="4"/>
        <v>9</v>
      </c>
    </row>
    <row r="230" ht="15.75" customHeight="1">
      <c r="A230" s="47" t="str">
        <f t="shared" si="1"/>
        <v/>
      </c>
      <c r="B230" s="48" t="str">
        <f t="array" ref="B230">IF($J230="","",INDEX(tx_ID,$J230))</f>
        <v/>
      </c>
      <c r="C230" s="49" t="str">
        <f t="array" ref="C230">IF($J230="","",INDEX(tx_Date,$J230))</f>
        <v/>
      </c>
      <c r="D230" s="48" t="str">
        <f t="array" ref="D230">IF($J230="","",INDEX(tx_CustName,$J230))</f>
        <v/>
      </c>
      <c r="E230" s="48" t="str">
        <f t="array" ref="E230">IF($J230="","",INDEX(tx_Product,$J230))</f>
        <v/>
      </c>
      <c r="F230" s="48" t="str">
        <f t="array" ref="F230">IF($J230="","",INDEX(tx_Category,$J230))</f>
        <v/>
      </c>
      <c r="G230" s="48" t="str">
        <f t="array" ref="G230">IF($J230="","",INDEX(tx_Region,$J230))</f>
        <v/>
      </c>
      <c r="H230" s="50" t="str">
        <f t="array" ref="H230">IF($J230="","",INDEX(tx_Qty,$J230))</f>
        <v/>
      </c>
      <c r="I230" s="51" t="str">
        <f t="array" ref="I230">IF($J230="","",INDEX(tx_Total,$J230))</f>
        <v/>
      </c>
      <c r="J230" s="52" t="str">
        <f t="shared" si="2"/>
        <v/>
      </c>
      <c r="L230" s="53">
        <f t="shared" si="3"/>
        <v>221</v>
      </c>
      <c r="M230" s="53">
        <f t="array" ref="M230">IF(AND(OR($B$3="All",INDEX(tx_Region,L230)=$B$3),OR($B$4="All",INDEX(tx_Category,L230)=$B$4),INDEX(tx_Total,L230)&gt;=$B$5),1,0)</f>
        <v>0</v>
      </c>
      <c r="N230" s="53">
        <f t="shared" si="4"/>
        <v>9</v>
      </c>
    </row>
    <row r="231" ht="15.75" customHeight="1">
      <c r="A231" s="47" t="str">
        <f t="shared" si="1"/>
        <v/>
      </c>
      <c r="B231" s="48" t="str">
        <f t="array" ref="B231">IF($J231="","",INDEX(tx_ID,$J231))</f>
        <v/>
      </c>
      <c r="C231" s="49" t="str">
        <f t="array" ref="C231">IF($J231="","",INDEX(tx_Date,$J231))</f>
        <v/>
      </c>
      <c r="D231" s="48" t="str">
        <f t="array" ref="D231">IF($J231="","",INDEX(tx_CustName,$J231))</f>
        <v/>
      </c>
      <c r="E231" s="48" t="str">
        <f t="array" ref="E231">IF($J231="","",INDEX(tx_Product,$J231))</f>
        <v/>
      </c>
      <c r="F231" s="48" t="str">
        <f t="array" ref="F231">IF($J231="","",INDEX(tx_Category,$J231))</f>
        <v/>
      </c>
      <c r="G231" s="48" t="str">
        <f t="array" ref="G231">IF($J231="","",INDEX(tx_Region,$J231))</f>
        <v/>
      </c>
      <c r="H231" s="50" t="str">
        <f t="array" ref="H231">IF($J231="","",INDEX(tx_Qty,$J231))</f>
        <v/>
      </c>
      <c r="I231" s="51" t="str">
        <f t="array" ref="I231">IF($J231="","",INDEX(tx_Total,$J231))</f>
        <v/>
      </c>
      <c r="J231" s="52" t="str">
        <f t="shared" si="2"/>
        <v/>
      </c>
      <c r="L231" s="53">
        <f t="shared" si="3"/>
        <v>222</v>
      </c>
      <c r="M231" s="53">
        <f t="array" ref="M231">IF(AND(OR($B$3="All",INDEX(tx_Region,L231)=$B$3),OR($B$4="All",INDEX(tx_Category,L231)=$B$4),INDEX(tx_Total,L231)&gt;=$B$5),1,0)</f>
        <v>0</v>
      </c>
      <c r="N231" s="53">
        <f t="shared" si="4"/>
        <v>9</v>
      </c>
    </row>
    <row r="232" ht="15.75" customHeight="1">
      <c r="A232" s="47" t="str">
        <f t="shared" si="1"/>
        <v/>
      </c>
      <c r="B232" s="48" t="str">
        <f t="array" ref="B232">IF($J232="","",INDEX(tx_ID,$J232))</f>
        <v/>
      </c>
      <c r="C232" s="49" t="str">
        <f t="array" ref="C232">IF($J232="","",INDEX(tx_Date,$J232))</f>
        <v/>
      </c>
      <c r="D232" s="48" t="str">
        <f t="array" ref="D232">IF($J232="","",INDEX(tx_CustName,$J232))</f>
        <v/>
      </c>
      <c r="E232" s="48" t="str">
        <f t="array" ref="E232">IF($J232="","",INDEX(tx_Product,$J232))</f>
        <v/>
      </c>
      <c r="F232" s="48" t="str">
        <f t="array" ref="F232">IF($J232="","",INDEX(tx_Category,$J232))</f>
        <v/>
      </c>
      <c r="G232" s="48" t="str">
        <f t="array" ref="G232">IF($J232="","",INDEX(tx_Region,$J232))</f>
        <v/>
      </c>
      <c r="H232" s="50" t="str">
        <f t="array" ref="H232">IF($J232="","",INDEX(tx_Qty,$J232))</f>
        <v/>
      </c>
      <c r="I232" s="51" t="str">
        <f t="array" ref="I232">IF($J232="","",INDEX(tx_Total,$J232))</f>
        <v/>
      </c>
      <c r="J232" s="52" t="str">
        <f t="shared" si="2"/>
        <v/>
      </c>
      <c r="L232" s="53">
        <f t="shared" si="3"/>
        <v>223</v>
      </c>
      <c r="M232" s="53">
        <f t="array" ref="M232">IF(AND(OR($B$3="All",INDEX(tx_Region,L232)=$B$3),OR($B$4="All",INDEX(tx_Category,L232)=$B$4),INDEX(tx_Total,L232)&gt;=$B$5),1,0)</f>
        <v>0</v>
      </c>
      <c r="N232" s="53">
        <f t="shared" si="4"/>
        <v>9</v>
      </c>
    </row>
    <row r="233" ht="15.75" customHeight="1">
      <c r="A233" s="47" t="str">
        <f t="shared" si="1"/>
        <v/>
      </c>
      <c r="B233" s="48" t="str">
        <f t="array" ref="B233">IF($J233="","",INDEX(tx_ID,$J233))</f>
        <v/>
      </c>
      <c r="C233" s="49" t="str">
        <f t="array" ref="C233">IF($J233="","",INDEX(tx_Date,$J233))</f>
        <v/>
      </c>
      <c r="D233" s="48" t="str">
        <f t="array" ref="D233">IF($J233="","",INDEX(tx_CustName,$J233))</f>
        <v/>
      </c>
      <c r="E233" s="48" t="str">
        <f t="array" ref="E233">IF($J233="","",INDEX(tx_Product,$J233))</f>
        <v/>
      </c>
      <c r="F233" s="48" t="str">
        <f t="array" ref="F233">IF($J233="","",INDEX(tx_Category,$J233))</f>
        <v/>
      </c>
      <c r="G233" s="48" t="str">
        <f t="array" ref="G233">IF($J233="","",INDEX(tx_Region,$J233))</f>
        <v/>
      </c>
      <c r="H233" s="50" t="str">
        <f t="array" ref="H233">IF($J233="","",INDEX(tx_Qty,$J233))</f>
        <v/>
      </c>
      <c r="I233" s="51" t="str">
        <f t="array" ref="I233">IF($J233="","",INDEX(tx_Total,$J233))</f>
        <v/>
      </c>
      <c r="J233" s="52" t="str">
        <f t="shared" si="2"/>
        <v/>
      </c>
      <c r="L233" s="53">
        <f t="shared" si="3"/>
        <v>224</v>
      </c>
      <c r="M233" s="53">
        <f t="array" ref="M233">IF(AND(OR($B$3="All",INDEX(tx_Region,L233)=$B$3),OR($B$4="All",INDEX(tx_Category,L233)=$B$4),INDEX(tx_Total,L233)&gt;=$B$5),1,0)</f>
        <v>0</v>
      </c>
      <c r="N233" s="53">
        <f t="shared" si="4"/>
        <v>9</v>
      </c>
    </row>
    <row r="234" ht="15.75" customHeight="1">
      <c r="A234" s="47" t="str">
        <f t="shared" si="1"/>
        <v/>
      </c>
      <c r="B234" s="48" t="str">
        <f t="array" ref="B234">IF($J234="","",INDEX(tx_ID,$J234))</f>
        <v/>
      </c>
      <c r="C234" s="49" t="str">
        <f t="array" ref="C234">IF($J234="","",INDEX(tx_Date,$J234))</f>
        <v/>
      </c>
      <c r="D234" s="48" t="str">
        <f t="array" ref="D234">IF($J234="","",INDEX(tx_CustName,$J234))</f>
        <v/>
      </c>
      <c r="E234" s="48" t="str">
        <f t="array" ref="E234">IF($J234="","",INDEX(tx_Product,$J234))</f>
        <v/>
      </c>
      <c r="F234" s="48" t="str">
        <f t="array" ref="F234">IF($J234="","",INDEX(tx_Category,$J234))</f>
        <v/>
      </c>
      <c r="G234" s="48" t="str">
        <f t="array" ref="G234">IF($J234="","",INDEX(tx_Region,$J234))</f>
        <v/>
      </c>
      <c r="H234" s="50" t="str">
        <f t="array" ref="H234">IF($J234="","",INDEX(tx_Qty,$J234))</f>
        <v/>
      </c>
      <c r="I234" s="51" t="str">
        <f t="array" ref="I234">IF($J234="","",INDEX(tx_Total,$J234))</f>
        <v/>
      </c>
      <c r="J234" s="52" t="str">
        <f t="shared" si="2"/>
        <v/>
      </c>
      <c r="L234" s="53">
        <f t="shared" si="3"/>
        <v>225</v>
      </c>
      <c r="M234" s="53">
        <f t="array" ref="M234">IF(AND(OR($B$3="All",INDEX(tx_Region,L234)=$B$3),OR($B$4="All",INDEX(tx_Category,L234)=$B$4),INDEX(tx_Total,L234)&gt;=$B$5),1,0)</f>
        <v>0</v>
      </c>
      <c r="N234" s="53">
        <f t="shared" si="4"/>
        <v>9</v>
      </c>
    </row>
    <row r="235" ht="15.75" customHeight="1">
      <c r="A235" s="47" t="str">
        <f t="shared" si="1"/>
        <v/>
      </c>
      <c r="B235" s="48" t="str">
        <f t="array" ref="B235">IF($J235="","",INDEX(tx_ID,$J235))</f>
        <v/>
      </c>
      <c r="C235" s="49" t="str">
        <f t="array" ref="C235">IF($J235="","",INDEX(tx_Date,$J235))</f>
        <v/>
      </c>
      <c r="D235" s="48" t="str">
        <f t="array" ref="D235">IF($J235="","",INDEX(tx_CustName,$J235))</f>
        <v/>
      </c>
      <c r="E235" s="48" t="str">
        <f t="array" ref="E235">IF($J235="","",INDEX(tx_Product,$J235))</f>
        <v/>
      </c>
      <c r="F235" s="48" t="str">
        <f t="array" ref="F235">IF($J235="","",INDEX(tx_Category,$J235))</f>
        <v/>
      </c>
      <c r="G235" s="48" t="str">
        <f t="array" ref="G235">IF($J235="","",INDEX(tx_Region,$J235))</f>
        <v/>
      </c>
      <c r="H235" s="50" t="str">
        <f t="array" ref="H235">IF($J235="","",INDEX(tx_Qty,$J235))</f>
        <v/>
      </c>
      <c r="I235" s="51" t="str">
        <f t="array" ref="I235">IF($J235="","",INDEX(tx_Total,$J235))</f>
        <v/>
      </c>
      <c r="J235" s="52" t="str">
        <f t="shared" si="2"/>
        <v/>
      </c>
      <c r="L235" s="53">
        <f t="shared" si="3"/>
        <v>226</v>
      </c>
      <c r="M235" s="53">
        <f t="array" ref="M235">IF(AND(OR($B$3="All",INDEX(tx_Region,L235)=$B$3),OR($B$4="All",INDEX(tx_Category,L235)=$B$4),INDEX(tx_Total,L235)&gt;=$B$5),1,0)</f>
        <v>1</v>
      </c>
      <c r="N235" s="53">
        <f t="shared" si="4"/>
        <v>10</v>
      </c>
    </row>
    <row r="236" ht="15.75" customHeight="1">
      <c r="A236" s="47" t="str">
        <f t="shared" si="1"/>
        <v/>
      </c>
      <c r="B236" s="48" t="str">
        <f t="array" ref="B236">IF($J236="","",INDEX(tx_ID,$J236))</f>
        <v/>
      </c>
      <c r="C236" s="49" t="str">
        <f t="array" ref="C236">IF($J236="","",INDEX(tx_Date,$J236))</f>
        <v/>
      </c>
      <c r="D236" s="48" t="str">
        <f t="array" ref="D236">IF($J236="","",INDEX(tx_CustName,$J236))</f>
        <v/>
      </c>
      <c r="E236" s="48" t="str">
        <f t="array" ref="E236">IF($J236="","",INDEX(tx_Product,$J236))</f>
        <v/>
      </c>
      <c r="F236" s="48" t="str">
        <f t="array" ref="F236">IF($J236="","",INDEX(tx_Category,$J236))</f>
        <v/>
      </c>
      <c r="G236" s="48" t="str">
        <f t="array" ref="G236">IF($J236="","",INDEX(tx_Region,$J236))</f>
        <v/>
      </c>
      <c r="H236" s="50" t="str">
        <f t="array" ref="H236">IF($J236="","",INDEX(tx_Qty,$J236))</f>
        <v/>
      </c>
      <c r="I236" s="51" t="str">
        <f t="array" ref="I236">IF($J236="","",INDEX(tx_Total,$J236))</f>
        <v/>
      </c>
      <c r="J236" s="52" t="str">
        <f t="shared" si="2"/>
        <v/>
      </c>
      <c r="L236" s="53">
        <f t="shared" si="3"/>
        <v>227</v>
      </c>
      <c r="M236" s="53">
        <f t="array" ref="M236">IF(AND(OR($B$3="All",INDEX(tx_Region,L236)=$B$3),OR($B$4="All",INDEX(tx_Category,L236)=$B$4),INDEX(tx_Total,L236)&gt;=$B$5),1,0)</f>
        <v>0</v>
      </c>
      <c r="N236" s="53">
        <f t="shared" si="4"/>
        <v>10</v>
      </c>
    </row>
    <row r="237" ht="15.75" customHeight="1">
      <c r="A237" s="47" t="str">
        <f t="shared" si="1"/>
        <v/>
      </c>
      <c r="B237" s="48" t="str">
        <f t="array" ref="B237">IF($J237="","",INDEX(tx_ID,$J237))</f>
        <v/>
      </c>
      <c r="C237" s="49" t="str">
        <f t="array" ref="C237">IF($J237="","",INDEX(tx_Date,$J237))</f>
        <v/>
      </c>
      <c r="D237" s="48" t="str">
        <f t="array" ref="D237">IF($J237="","",INDEX(tx_CustName,$J237))</f>
        <v/>
      </c>
      <c r="E237" s="48" t="str">
        <f t="array" ref="E237">IF($J237="","",INDEX(tx_Product,$J237))</f>
        <v/>
      </c>
      <c r="F237" s="48" t="str">
        <f t="array" ref="F237">IF($J237="","",INDEX(tx_Category,$J237))</f>
        <v/>
      </c>
      <c r="G237" s="48" t="str">
        <f t="array" ref="G237">IF($J237="","",INDEX(tx_Region,$J237))</f>
        <v/>
      </c>
      <c r="H237" s="50" t="str">
        <f t="array" ref="H237">IF($J237="","",INDEX(tx_Qty,$J237))</f>
        <v/>
      </c>
      <c r="I237" s="51" t="str">
        <f t="array" ref="I237">IF($J237="","",INDEX(tx_Total,$J237))</f>
        <v/>
      </c>
      <c r="J237" s="52" t="str">
        <f t="shared" si="2"/>
        <v/>
      </c>
      <c r="L237" s="53">
        <f t="shared" si="3"/>
        <v>228</v>
      </c>
      <c r="M237" s="53">
        <f t="array" ref="M237">IF(AND(OR($B$3="All",INDEX(tx_Region,L237)=$B$3),OR($B$4="All",INDEX(tx_Category,L237)=$B$4),INDEX(tx_Total,L237)&gt;=$B$5),1,0)</f>
        <v>0</v>
      </c>
      <c r="N237" s="53">
        <f t="shared" si="4"/>
        <v>10</v>
      </c>
    </row>
    <row r="238" ht="15.75" customHeight="1">
      <c r="A238" s="47" t="str">
        <f t="shared" si="1"/>
        <v/>
      </c>
      <c r="B238" s="48" t="str">
        <f t="array" ref="B238">IF($J238="","",INDEX(tx_ID,$J238))</f>
        <v/>
      </c>
      <c r="C238" s="49" t="str">
        <f t="array" ref="C238">IF($J238="","",INDEX(tx_Date,$J238))</f>
        <v/>
      </c>
      <c r="D238" s="48" t="str">
        <f t="array" ref="D238">IF($J238="","",INDEX(tx_CustName,$J238))</f>
        <v/>
      </c>
      <c r="E238" s="48" t="str">
        <f t="array" ref="E238">IF($J238="","",INDEX(tx_Product,$J238))</f>
        <v/>
      </c>
      <c r="F238" s="48" t="str">
        <f t="array" ref="F238">IF($J238="","",INDEX(tx_Category,$J238))</f>
        <v/>
      </c>
      <c r="G238" s="48" t="str">
        <f t="array" ref="G238">IF($J238="","",INDEX(tx_Region,$J238))</f>
        <v/>
      </c>
      <c r="H238" s="50" t="str">
        <f t="array" ref="H238">IF($J238="","",INDEX(tx_Qty,$J238))</f>
        <v/>
      </c>
      <c r="I238" s="51" t="str">
        <f t="array" ref="I238">IF($J238="","",INDEX(tx_Total,$J238))</f>
        <v/>
      </c>
      <c r="J238" s="52" t="str">
        <f t="shared" si="2"/>
        <v/>
      </c>
      <c r="L238" s="53">
        <f t="shared" si="3"/>
        <v>229</v>
      </c>
      <c r="M238" s="53">
        <f t="array" ref="M238">IF(AND(OR($B$3="All",INDEX(tx_Region,L238)=$B$3),OR($B$4="All",INDEX(tx_Category,L238)=$B$4),INDEX(tx_Total,L238)&gt;=$B$5),1,0)</f>
        <v>0</v>
      </c>
      <c r="N238" s="53">
        <f t="shared" si="4"/>
        <v>10</v>
      </c>
    </row>
    <row r="239" ht="15.75" customHeight="1">
      <c r="A239" s="47" t="str">
        <f t="shared" si="1"/>
        <v/>
      </c>
      <c r="B239" s="48" t="str">
        <f t="array" ref="B239">IF($J239="","",INDEX(tx_ID,$J239))</f>
        <v/>
      </c>
      <c r="C239" s="49" t="str">
        <f t="array" ref="C239">IF($J239="","",INDEX(tx_Date,$J239))</f>
        <v/>
      </c>
      <c r="D239" s="48" t="str">
        <f t="array" ref="D239">IF($J239="","",INDEX(tx_CustName,$J239))</f>
        <v/>
      </c>
      <c r="E239" s="48" t="str">
        <f t="array" ref="E239">IF($J239="","",INDEX(tx_Product,$J239))</f>
        <v/>
      </c>
      <c r="F239" s="48" t="str">
        <f t="array" ref="F239">IF($J239="","",INDEX(tx_Category,$J239))</f>
        <v/>
      </c>
      <c r="G239" s="48" t="str">
        <f t="array" ref="G239">IF($J239="","",INDEX(tx_Region,$J239))</f>
        <v/>
      </c>
      <c r="H239" s="50" t="str">
        <f t="array" ref="H239">IF($J239="","",INDEX(tx_Qty,$J239))</f>
        <v/>
      </c>
      <c r="I239" s="51" t="str">
        <f t="array" ref="I239">IF($J239="","",INDEX(tx_Total,$J239))</f>
        <v/>
      </c>
      <c r="J239" s="52" t="str">
        <f t="shared" si="2"/>
        <v/>
      </c>
      <c r="L239" s="53">
        <f t="shared" si="3"/>
        <v>230</v>
      </c>
      <c r="M239" s="53">
        <f t="array" ref="M239">IF(AND(OR($B$3="All",INDEX(tx_Region,L239)=$B$3),OR($B$4="All",INDEX(tx_Category,L239)=$B$4),INDEX(tx_Total,L239)&gt;=$B$5),1,0)</f>
        <v>0</v>
      </c>
      <c r="N239" s="53">
        <f t="shared" si="4"/>
        <v>10</v>
      </c>
    </row>
    <row r="240" ht="15.75" customHeight="1">
      <c r="A240" s="47" t="str">
        <f t="shared" si="1"/>
        <v/>
      </c>
      <c r="B240" s="48" t="str">
        <f t="array" ref="B240">IF($J240="","",INDEX(tx_ID,$J240))</f>
        <v/>
      </c>
      <c r="C240" s="49" t="str">
        <f t="array" ref="C240">IF($J240="","",INDEX(tx_Date,$J240))</f>
        <v/>
      </c>
      <c r="D240" s="48" t="str">
        <f t="array" ref="D240">IF($J240="","",INDEX(tx_CustName,$J240))</f>
        <v/>
      </c>
      <c r="E240" s="48" t="str">
        <f t="array" ref="E240">IF($J240="","",INDEX(tx_Product,$J240))</f>
        <v/>
      </c>
      <c r="F240" s="48" t="str">
        <f t="array" ref="F240">IF($J240="","",INDEX(tx_Category,$J240))</f>
        <v/>
      </c>
      <c r="G240" s="48" t="str">
        <f t="array" ref="G240">IF($J240="","",INDEX(tx_Region,$J240))</f>
        <v/>
      </c>
      <c r="H240" s="50" t="str">
        <f t="array" ref="H240">IF($J240="","",INDEX(tx_Qty,$J240))</f>
        <v/>
      </c>
      <c r="I240" s="51" t="str">
        <f t="array" ref="I240">IF($J240="","",INDEX(tx_Total,$J240))</f>
        <v/>
      </c>
      <c r="J240" s="52" t="str">
        <f t="shared" si="2"/>
        <v/>
      </c>
      <c r="L240" s="53">
        <f t="shared" si="3"/>
        <v>231</v>
      </c>
      <c r="M240" s="53">
        <f t="array" ref="M240">IF(AND(OR($B$3="All",INDEX(tx_Region,L240)=$B$3),OR($B$4="All",INDEX(tx_Category,L240)=$B$4),INDEX(tx_Total,L240)&gt;=$B$5),1,0)</f>
        <v>1</v>
      </c>
      <c r="N240" s="53">
        <f t="shared" si="4"/>
        <v>11</v>
      </c>
    </row>
    <row r="241" ht="15.75" customHeight="1">
      <c r="A241" s="47" t="str">
        <f t="shared" si="1"/>
        <v/>
      </c>
      <c r="B241" s="48" t="str">
        <f t="array" ref="B241">IF($J241="","",INDEX(tx_ID,$J241))</f>
        <v/>
      </c>
      <c r="C241" s="49" t="str">
        <f t="array" ref="C241">IF($J241="","",INDEX(tx_Date,$J241))</f>
        <v/>
      </c>
      <c r="D241" s="48" t="str">
        <f t="array" ref="D241">IF($J241="","",INDEX(tx_CustName,$J241))</f>
        <v/>
      </c>
      <c r="E241" s="48" t="str">
        <f t="array" ref="E241">IF($J241="","",INDEX(tx_Product,$J241))</f>
        <v/>
      </c>
      <c r="F241" s="48" t="str">
        <f t="array" ref="F241">IF($J241="","",INDEX(tx_Category,$J241))</f>
        <v/>
      </c>
      <c r="G241" s="48" t="str">
        <f t="array" ref="G241">IF($J241="","",INDEX(tx_Region,$J241))</f>
        <v/>
      </c>
      <c r="H241" s="50" t="str">
        <f t="array" ref="H241">IF($J241="","",INDEX(tx_Qty,$J241))</f>
        <v/>
      </c>
      <c r="I241" s="51" t="str">
        <f t="array" ref="I241">IF($J241="","",INDEX(tx_Total,$J241))</f>
        <v/>
      </c>
      <c r="J241" s="52" t="str">
        <f t="shared" si="2"/>
        <v/>
      </c>
      <c r="L241" s="53">
        <f t="shared" si="3"/>
        <v>232</v>
      </c>
      <c r="M241" s="53">
        <f t="array" ref="M241">IF(AND(OR($B$3="All",INDEX(tx_Region,L241)=$B$3),OR($B$4="All",INDEX(tx_Category,L241)=$B$4),INDEX(tx_Total,L241)&gt;=$B$5),1,0)</f>
        <v>0</v>
      </c>
      <c r="N241" s="53">
        <f t="shared" si="4"/>
        <v>11</v>
      </c>
    </row>
    <row r="242" ht="15.75" customHeight="1">
      <c r="A242" s="47" t="str">
        <f t="shared" si="1"/>
        <v/>
      </c>
      <c r="B242" s="48" t="str">
        <f t="array" ref="B242">IF($J242="","",INDEX(tx_ID,$J242))</f>
        <v/>
      </c>
      <c r="C242" s="49" t="str">
        <f t="array" ref="C242">IF($J242="","",INDEX(tx_Date,$J242))</f>
        <v/>
      </c>
      <c r="D242" s="48" t="str">
        <f t="array" ref="D242">IF($J242="","",INDEX(tx_CustName,$J242))</f>
        <v/>
      </c>
      <c r="E242" s="48" t="str">
        <f t="array" ref="E242">IF($J242="","",INDEX(tx_Product,$J242))</f>
        <v/>
      </c>
      <c r="F242" s="48" t="str">
        <f t="array" ref="F242">IF($J242="","",INDEX(tx_Category,$J242))</f>
        <v/>
      </c>
      <c r="G242" s="48" t="str">
        <f t="array" ref="G242">IF($J242="","",INDEX(tx_Region,$J242))</f>
        <v/>
      </c>
      <c r="H242" s="50" t="str">
        <f t="array" ref="H242">IF($J242="","",INDEX(tx_Qty,$J242))</f>
        <v/>
      </c>
      <c r="I242" s="51" t="str">
        <f t="array" ref="I242">IF($J242="","",INDEX(tx_Total,$J242))</f>
        <v/>
      </c>
      <c r="J242" s="52" t="str">
        <f t="shared" si="2"/>
        <v/>
      </c>
      <c r="L242" s="53">
        <f t="shared" si="3"/>
        <v>233</v>
      </c>
      <c r="M242" s="53">
        <f t="array" ref="M242">IF(AND(OR($B$3="All",INDEX(tx_Region,L242)=$B$3),OR($B$4="All",INDEX(tx_Category,L242)=$B$4),INDEX(tx_Total,L242)&gt;=$B$5),1,0)</f>
        <v>0</v>
      </c>
      <c r="N242" s="53">
        <f t="shared" si="4"/>
        <v>11</v>
      </c>
    </row>
    <row r="243" ht="15.75" customHeight="1">
      <c r="A243" s="47" t="str">
        <f t="shared" si="1"/>
        <v/>
      </c>
      <c r="B243" s="48" t="str">
        <f t="array" ref="B243">IF($J243="","",INDEX(tx_ID,$J243))</f>
        <v/>
      </c>
      <c r="C243" s="49" t="str">
        <f t="array" ref="C243">IF($J243="","",INDEX(tx_Date,$J243))</f>
        <v/>
      </c>
      <c r="D243" s="48" t="str">
        <f t="array" ref="D243">IF($J243="","",INDEX(tx_CustName,$J243))</f>
        <v/>
      </c>
      <c r="E243" s="48" t="str">
        <f t="array" ref="E243">IF($J243="","",INDEX(tx_Product,$J243))</f>
        <v/>
      </c>
      <c r="F243" s="48" t="str">
        <f t="array" ref="F243">IF($J243="","",INDEX(tx_Category,$J243))</f>
        <v/>
      </c>
      <c r="G243" s="48" t="str">
        <f t="array" ref="G243">IF($J243="","",INDEX(tx_Region,$J243))</f>
        <v/>
      </c>
      <c r="H243" s="50" t="str">
        <f t="array" ref="H243">IF($J243="","",INDEX(tx_Qty,$J243))</f>
        <v/>
      </c>
      <c r="I243" s="51" t="str">
        <f t="array" ref="I243">IF($J243="","",INDEX(tx_Total,$J243))</f>
        <v/>
      </c>
      <c r="J243" s="52" t="str">
        <f t="shared" si="2"/>
        <v/>
      </c>
      <c r="L243" s="53">
        <f t="shared" si="3"/>
        <v>234</v>
      </c>
      <c r="M243" s="53">
        <f t="array" ref="M243">IF(AND(OR($B$3="All",INDEX(tx_Region,L243)=$B$3),OR($B$4="All",INDEX(tx_Category,L243)=$B$4),INDEX(tx_Total,L243)&gt;=$B$5),1,0)</f>
        <v>0</v>
      </c>
      <c r="N243" s="53">
        <f t="shared" si="4"/>
        <v>11</v>
      </c>
    </row>
    <row r="244" ht="15.75" customHeight="1">
      <c r="A244" s="47" t="str">
        <f t="shared" si="1"/>
        <v/>
      </c>
      <c r="B244" s="48" t="str">
        <f t="array" ref="B244">IF($J244="","",INDEX(tx_ID,$J244))</f>
        <v/>
      </c>
      <c r="C244" s="49" t="str">
        <f t="array" ref="C244">IF($J244="","",INDEX(tx_Date,$J244))</f>
        <v/>
      </c>
      <c r="D244" s="48" t="str">
        <f t="array" ref="D244">IF($J244="","",INDEX(tx_CustName,$J244))</f>
        <v/>
      </c>
      <c r="E244" s="48" t="str">
        <f t="array" ref="E244">IF($J244="","",INDEX(tx_Product,$J244))</f>
        <v/>
      </c>
      <c r="F244" s="48" t="str">
        <f t="array" ref="F244">IF($J244="","",INDEX(tx_Category,$J244))</f>
        <v/>
      </c>
      <c r="G244" s="48" t="str">
        <f t="array" ref="G244">IF($J244="","",INDEX(tx_Region,$J244))</f>
        <v/>
      </c>
      <c r="H244" s="50" t="str">
        <f t="array" ref="H244">IF($J244="","",INDEX(tx_Qty,$J244))</f>
        <v/>
      </c>
      <c r="I244" s="51" t="str">
        <f t="array" ref="I244">IF($J244="","",INDEX(tx_Total,$J244))</f>
        <v/>
      </c>
      <c r="J244" s="52" t="str">
        <f t="shared" si="2"/>
        <v/>
      </c>
      <c r="L244" s="53">
        <f t="shared" si="3"/>
        <v>235</v>
      </c>
      <c r="M244" s="53">
        <f t="array" ref="M244">IF(AND(OR($B$3="All",INDEX(tx_Region,L244)=$B$3),OR($B$4="All",INDEX(tx_Category,L244)=$B$4),INDEX(tx_Total,L244)&gt;=$B$5),1,0)</f>
        <v>0</v>
      </c>
      <c r="N244" s="53">
        <f t="shared" si="4"/>
        <v>11</v>
      </c>
    </row>
    <row r="245" ht="15.75" customHeight="1">
      <c r="A245" s="47" t="str">
        <f t="shared" si="1"/>
        <v/>
      </c>
      <c r="B245" s="48" t="str">
        <f t="array" ref="B245">IF($J245="","",INDEX(tx_ID,$J245))</f>
        <v/>
      </c>
      <c r="C245" s="49" t="str">
        <f t="array" ref="C245">IF($J245="","",INDEX(tx_Date,$J245))</f>
        <v/>
      </c>
      <c r="D245" s="48" t="str">
        <f t="array" ref="D245">IF($J245="","",INDEX(tx_CustName,$J245))</f>
        <v/>
      </c>
      <c r="E245" s="48" t="str">
        <f t="array" ref="E245">IF($J245="","",INDEX(tx_Product,$J245))</f>
        <v/>
      </c>
      <c r="F245" s="48" t="str">
        <f t="array" ref="F245">IF($J245="","",INDEX(tx_Category,$J245))</f>
        <v/>
      </c>
      <c r="G245" s="48" t="str">
        <f t="array" ref="G245">IF($J245="","",INDEX(tx_Region,$J245))</f>
        <v/>
      </c>
      <c r="H245" s="50" t="str">
        <f t="array" ref="H245">IF($J245="","",INDEX(tx_Qty,$J245))</f>
        <v/>
      </c>
      <c r="I245" s="51" t="str">
        <f t="array" ref="I245">IF($J245="","",INDEX(tx_Total,$J245))</f>
        <v/>
      </c>
      <c r="J245" s="52" t="str">
        <f t="shared" si="2"/>
        <v/>
      </c>
      <c r="L245" s="53">
        <f t="shared" si="3"/>
        <v>236</v>
      </c>
      <c r="M245" s="53">
        <f t="array" ref="M245">IF(AND(OR($B$3="All",INDEX(tx_Region,L245)=$B$3),OR($B$4="All",INDEX(tx_Category,L245)=$B$4),INDEX(tx_Total,L245)&gt;=$B$5),1,0)</f>
        <v>0</v>
      </c>
      <c r="N245" s="53">
        <f t="shared" si="4"/>
        <v>11</v>
      </c>
    </row>
    <row r="246" ht="15.75" customHeight="1">
      <c r="A246" s="47" t="str">
        <f t="shared" si="1"/>
        <v/>
      </c>
      <c r="B246" s="48" t="str">
        <f t="array" ref="B246">IF($J246="","",INDEX(tx_ID,$J246))</f>
        <v/>
      </c>
      <c r="C246" s="49" t="str">
        <f t="array" ref="C246">IF($J246="","",INDEX(tx_Date,$J246))</f>
        <v/>
      </c>
      <c r="D246" s="48" t="str">
        <f t="array" ref="D246">IF($J246="","",INDEX(tx_CustName,$J246))</f>
        <v/>
      </c>
      <c r="E246" s="48" t="str">
        <f t="array" ref="E246">IF($J246="","",INDEX(tx_Product,$J246))</f>
        <v/>
      </c>
      <c r="F246" s="48" t="str">
        <f t="array" ref="F246">IF($J246="","",INDEX(tx_Category,$J246))</f>
        <v/>
      </c>
      <c r="G246" s="48" t="str">
        <f t="array" ref="G246">IF($J246="","",INDEX(tx_Region,$J246))</f>
        <v/>
      </c>
      <c r="H246" s="50" t="str">
        <f t="array" ref="H246">IF($J246="","",INDEX(tx_Qty,$J246))</f>
        <v/>
      </c>
      <c r="I246" s="51" t="str">
        <f t="array" ref="I246">IF($J246="","",INDEX(tx_Total,$J246))</f>
        <v/>
      </c>
      <c r="J246" s="52" t="str">
        <f t="shared" si="2"/>
        <v/>
      </c>
      <c r="L246" s="53">
        <f t="shared" si="3"/>
        <v>237</v>
      </c>
      <c r="M246" s="53">
        <f t="array" ref="M246">IF(AND(OR($B$3="All",INDEX(tx_Region,L246)=$B$3),OR($B$4="All",INDEX(tx_Category,L246)=$B$4),INDEX(tx_Total,L246)&gt;=$B$5),1,0)</f>
        <v>0</v>
      </c>
      <c r="N246" s="53">
        <f t="shared" si="4"/>
        <v>11</v>
      </c>
    </row>
    <row r="247" ht="15.75" customHeight="1">
      <c r="A247" s="47" t="str">
        <f t="shared" si="1"/>
        <v/>
      </c>
      <c r="B247" s="48" t="str">
        <f t="array" ref="B247">IF($J247="","",INDEX(tx_ID,$J247))</f>
        <v/>
      </c>
      <c r="C247" s="49" t="str">
        <f t="array" ref="C247">IF($J247="","",INDEX(tx_Date,$J247))</f>
        <v/>
      </c>
      <c r="D247" s="48" t="str">
        <f t="array" ref="D247">IF($J247="","",INDEX(tx_CustName,$J247))</f>
        <v/>
      </c>
      <c r="E247" s="48" t="str">
        <f t="array" ref="E247">IF($J247="","",INDEX(tx_Product,$J247))</f>
        <v/>
      </c>
      <c r="F247" s="48" t="str">
        <f t="array" ref="F247">IF($J247="","",INDEX(tx_Category,$J247))</f>
        <v/>
      </c>
      <c r="G247" s="48" t="str">
        <f t="array" ref="G247">IF($J247="","",INDEX(tx_Region,$J247))</f>
        <v/>
      </c>
      <c r="H247" s="50" t="str">
        <f t="array" ref="H247">IF($J247="","",INDEX(tx_Qty,$J247))</f>
        <v/>
      </c>
      <c r="I247" s="51" t="str">
        <f t="array" ref="I247">IF($J247="","",INDEX(tx_Total,$J247))</f>
        <v/>
      </c>
      <c r="J247" s="52" t="str">
        <f t="shared" si="2"/>
        <v/>
      </c>
      <c r="L247" s="53">
        <f t="shared" si="3"/>
        <v>238</v>
      </c>
      <c r="M247" s="53">
        <f t="array" ref="M247">IF(AND(OR($B$3="All",INDEX(tx_Region,L247)=$B$3),OR($B$4="All",INDEX(tx_Category,L247)=$B$4),INDEX(tx_Total,L247)&gt;=$B$5),1,0)</f>
        <v>0</v>
      </c>
      <c r="N247" s="53">
        <f t="shared" si="4"/>
        <v>11</v>
      </c>
    </row>
    <row r="248" ht="15.75" customHeight="1">
      <c r="A248" s="47" t="str">
        <f t="shared" si="1"/>
        <v/>
      </c>
      <c r="B248" s="48" t="str">
        <f t="array" ref="B248">IF($J248="","",INDEX(tx_ID,$J248))</f>
        <v/>
      </c>
      <c r="C248" s="49" t="str">
        <f t="array" ref="C248">IF($J248="","",INDEX(tx_Date,$J248))</f>
        <v/>
      </c>
      <c r="D248" s="48" t="str">
        <f t="array" ref="D248">IF($J248="","",INDEX(tx_CustName,$J248))</f>
        <v/>
      </c>
      <c r="E248" s="48" t="str">
        <f t="array" ref="E248">IF($J248="","",INDEX(tx_Product,$J248))</f>
        <v/>
      </c>
      <c r="F248" s="48" t="str">
        <f t="array" ref="F248">IF($J248="","",INDEX(tx_Category,$J248))</f>
        <v/>
      </c>
      <c r="G248" s="48" t="str">
        <f t="array" ref="G248">IF($J248="","",INDEX(tx_Region,$J248))</f>
        <v/>
      </c>
      <c r="H248" s="50" t="str">
        <f t="array" ref="H248">IF($J248="","",INDEX(tx_Qty,$J248))</f>
        <v/>
      </c>
      <c r="I248" s="51" t="str">
        <f t="array" ref="I248">IF($J248="","",INDEX(tx_Total,$J248))</f>
        <v/>
      </c>
      <c r="J248" s="52" t="str">
        <f t="shared" si="2"/>
        <v/>
      </c>
      <c r="L248" s="53">
        <f t="shared" si="3"/>
        <v>239</v>
      </c>
      <c r="M248" s="53">
        <f t="array" ref="M248">IF(AND(OR($B$3="All",INDEX(tx_Region,L248)=$B$3),OR($B$4="All",INDEX(tx_Category,L248)=$B$4),INDEX(tx_Total,L248)&gt;=$B$5),1,0)</f>
        <v>0</v>
      </c>
      <c r="N248" s="53">
        <f t="shared" si="4"/>
        <v>11</v>
      </c>
    </row>
    <row r="249" ht="15.75" customHeight="1">
      <c r="A249" s="47" t="str">
        <f t="shared" si="1"/>
        <v/>
      </c>
      <c r="B249" s="48" t="str">
        <f t="array" ref="B249">IF($J249="","",INDEX(tx_ID,$J249))</f>
        <v/>
      </c>
      <c r="C249" s="49" t="str">
        <f t="array" ref="C249">IF($J249="","",INDEX(tx_Date,$J249))</f>
        <v/>
      </c>
      <c r="D249" s="48" t="str">
        <f t="array" ref="D249">IF($J249="","",INDEX(tx_CustName,$J249))</f>
        <v/>
      </c>
      <c r="E249" s="48" t="str">
        <f t="array" ref="E249">IF($J249="","",INDEX(tx_Product,$J249))</f>
        <v/>
      </c>
      <c r="F249" s="48" t="str">
        <f t="array" ref="F249">IF($J249="","",INDEX(tx_Category,$J249))</f>
        <v/>
      </c>
      <c r="G249" s="48" t="str">
        <f t="array" ref="G249">IF($J249="","",INDEX(tx_Region,$J249))</f>
        <v/>
      </c>
      <c r="H249" s="50" t="str">
        <f t="array" ref="H249">IF($J249="","",INDEX(tx_Qty,$J249))</f>
        <v/>
      </c>
      <c r="I249" s="51" t="str">
        <f t="array" ref="I249">IF($J249="","",INDEX(tx_Total,$J249))</f>
        <v/>
      </c>
      <c r="J249" s="52" t="str">
        <f t="shared" si="2"/>
        <v/>
      </c>
      <c r="L249" s="53">
        <f t="shared" si="3"/>
        <v>240</v>
      </c>
      <c r="M249" s="53">
        <f t="array" ref="M249">IF(AND(OR($B$3="All",INDEX(tx_Region,L249)=$B$3),OR($B$4="All",INDEX(tx_Category,L249)=$B$4),INDEX(tx_Total,L249)&gt;=$B$5),1,0)</f>
        <v>0</v>
      </c>
      <c r="N249" s="53">
        <f t="shared" si="4"/>
        <v>11</v>
      </c>
    </row>
    <row r="250" ht="15.75" customHeight="1">
      <c r="A250" s="47" t="str">
        <f t="shared" si="1"/>
        <v/>
      </c>
      <c r="B250" s="48" t="str">
        <f t="array" ref="B250">IF($J250="","",INDEX(tx_ID,$J250))</f>
        <v/>
      </c>
      <c r="C250" s="49" t="str">
        <f t="array" ref="C250">IF($J250="","",INDEX(tx_Date,$J250))</f>
        <v/>
      </c>
      <c r="D250" s="48" t="str">
        <f t="array" ref="D250">IF($J250="","",INDEX(tx_CustName,$J250))</f>
        <v/>
      </c>
      <c r="E250" s="48" t="str">
        <f t="array" ref="E250">IF($J250="","",INDEX(tx_Product,$J250))</f>
        <v/>
      </c>
      <c r="F250" s="48" t="str">
        <f t="array" ref="F250">IF($J250="","",INDEX(tx_Category,$J250))</f>
        <v/>
      </c>
      <c r="G250" s="48" t="str">
        <f t="array" ref="G250">IF($J250="","",INDEX(tx_Region,$J250))</f>
        <v/>
      </c>
      <c r="H250" s="50" t="str">
        <f t="array" ref="H250">IF($J250="","",INDEX(tx_Qty,$J250))</f>
        <v/>
      </c>
      <c r="I250" s="51" t="str">
        <f t="array" ref="I250">IF($J250="","",INDEX(tx_Total,$J250))</f>
        <v/>
      </c>
      <c r="J250" s="52" t="str">
        <f t="shared" si="2"/>
        <v/>
      </c>
      <c r="L250" s="53">
        <f t="shared" si="3"/>
        <v>241</v>
      </c>
      <c r="M250" s="53">
        <f t="array" ref="M250">IF(AND(OR($B$3="All",INDEX(tx_Region,L250)=$B$3),OR($B$4="All",INDEX(tx_Category,L250)=$B$4),INDEX(tx_Total,L250)&gt;=$B$5),1,0)</f>
        <v>0</v>
      </c>
      <c r="N250" s="53">
        <f t="shared" si="4"/>
        <v>11</v>
      </c>
    </row>
    <row r="251" ht="15.75" customHeight="1">
      <c r="A251" s="47" t="str">
        <f t="shared" si="1"/>
        <v/>
      </c>
      <c r="B251" s="48" t="str">
        <f t="array" ref="B251">IF($J251="","",INDEX(tx_ID,$J251))</f>
        <v/>
      </c>
      <c r="C251" s="49" t="str">
        <f t="array" ref="C251">IF($J251="","",INDEX(tx_Date,$J251))</f>
        <v/>
      </c>
      <c r="D251" s="48" t="str">
        <f t="array" ref="D251">IF($J251="","",INDEX(tx_CustName,$J251))</f>
        <v/>
      </c>
      <c r="E251" s="48" t="str">
        <f t="array" ref="E251">IF($J251="","",INDEX(tx_Product,$J251))</f>
        <v/>
      </c>
      <c r="F251" s="48" t="str">
        <f t="array" ref="F251">IF($J251="","",INDEX(tx_Category,$J251))</f>
        <v/>
      </c>
      <c r="G251" s="48" t="str">
        <f t="array" ref="G251">IF($J251="","",INDEX(tx_Region,$J251))</f>
        <v/>
      </c>
      <c r="H251" s="50" t="str">
        <f t="array" ref="H251">IF($J251="","",INDEX(tx_Qty,$J251))</f>
        <v/>
      </c>
      <c r="I251" s="51" t="str">
        <f t="array" ref="I251">IF($J251="","",INDEX(tx_Total,$J251))</f>
        <v/>
      </c>
      <c r="J251" s="52" t="str">
        <f t="shared" si="2"/>
        <v/>
      </c>
      <c r="L251" s="53">
        <f t="shared" si="3"/>
        <v>242</v>
      </c>
      <c r="M251" s="53">
        <f t="array" ref="M251">IF(AND(OR($B$3="All",INDEX(tx_Region,L251)=$B$3),OR($B$4="All",INDEX(tx_Category,L251)=$B$4),INDEX(tx_Total,L251)&gt;=$B$5),1,0)</f>
        <v>0</v>
      </c>
      <c r="N251" s="53">
        <f t="shared" si="4"/>
        <v>11</v>
      </c>
    </row>
    <row r="252" ht="15.75" customHeight="1">
      <c r="A252" s="47" t="str">
        <f t="shared" si="1"/>
        <v/>
      </c>
      <c r="B252" s="48" t="str">
        <f t="array" ref="B252">IF($J252="","",INDEX(tx_ID,$J252))</f>
        <v/>
      </c>
      <c r="C252" s="49" t="str">
        <f t="array" ref="C252">IF($J252="","",INDEX(tx_Date,$J252))</f>
        <v/>
      </c>
      <c r="D252" s="48" t="str">
        <f t="array" ref="D252">IF($J252="","",INDEX(tx_CustName,$J252))</f>
        <v/>
      </c>
      <c r="E252" s="48" t="str">
        <f t="array" ref="E252">IF($J252="","",INDEX(tx_Product,$J252))</f>
        <v/>
      </c>
      <c r="F252" s="48" t="str">
        <f t="array" ref="F252">IF($J252="","",INDEX(tx_Category,$J252))</f>
        <v/>
      </c>
      <c r="G252" s="48" t="str">
        <f t="array" ref="G252">IF($J252="","",INDEX(tx_Region,$J252))</f>
        <v/>
      </c>
      <c r="H252" s="50" t="str">
        <f t="array" ref="H252">IF($J252="","",INDEX(tx_Qty,$J252))</f>
        <v/>
      </c>
      <c r="I252" s="51" t="str">
        <f t="array" ref="I252">IF($J252="","",INDEX(tx_Total,$J252))</f>
        <v/>
      </c>
      <c r="J252" s="52" t="str">
        <f t="shared" si="2"/>
        <v/>
      </c>
      <c r="L252" s="53">
        <f t="shared" si="3"/>
        <v>243</v>
      </c>
      <c r="M252" s="53">
        <f t="array" ref="M252">IF(AND(OR($B$3="All",INDEX(tx_Region,L252)=$B$3),OR($B$4="All",INDEX(tx_Category,L252)=$B$4),INDEX(tx_Total,L252)&gt;=$B$5),1,0)</f>
        <v>0</v>
      </c>
      <c r="N252" s="53">
        <f t="shared" si="4"/>
        <v>11</v>
      </c>
    </row>
    <row r="253" ht="15.75" customHeight="1">
      <c r="A253" s="47" t="str">
        <f t="shared" si="1"/>
        <v/>
      </c>
      <c r="B253" s="48" t="str">
        <f t="array" ref="B253">IF($J253="","",INDEX(tx_ID,$J253))</f>
        <v/>
      </c>
      <c r="C253" s="49" t="str">
        <f t="array" ref="C253">IF($J253="","",INDEX(tx_Date,$J253))</f>
        <v/>
      </c>
      <c r="D253" s="48" t="str">
        <f t="array" ref="D253">IF($J253="","",INDEX(tx_CustName,$J253))</f>
        <v/>
      </c>
      <c r="E253" s="48" t="str">
        <f t="array" ref="E253">IF($J253="","",INDEX(tx_Product,$J253))</f>
        <v/>
      </c>
      <c r="F253" s="48" t="str">
        <f t="array" ref="F253">IF($J253="","",INDEX(tx_Category,$J253))</f>
        <v/>
      </c>
      <c r="G253" s="48" t="str">
        <f t="array" ref="G253">IF($J253="","",INDEX(tx_Region,$J253))</f>
        <v/>
      </c>
      <c r="H253" s="50" t="str">
        <f t="array" ref="H253">IF($J253="","",INDEX(tx_Qty,$J253))</f>
        <v/>
      </c>
      <c r="I253" s="51" t="str">
        <f t="array" ref="I253">IF($J253="","",INDEX(tx_Total,$J253))</f>
        <v/>
      </c>
      <c r="J253" s="52" t="str">
        <f t="shared" si="2"/>
        <v/>
      </c>
      <c r="L253" s="53">
        <f t="shared" si="3"/>
        <v>244</v>
      </c>
      <c r="M253" s="53">
        <f t="array" ref="M253">IF(AND(OR($B$3="All",INDEX(tx_Region,L253)=$B$3),OR($B$4="All",INDEX(tx_Category,L253)=$B$4),INDEX(tx_Total,L253)&gt;=$B$5),1,0)</f>
        <v>0</v>
      </c>
      <c r="N253" s="53">
        <f t="shared" si="4"/>
        <v>11</v>
      </c>
    </row>
    <row r="254" ht="15.75" customHeight="1">
      <c r="A254" s="47" t="str">
        <f t="shared" si="1"/>
        <v/>
      </c>
      <c r="B254" s="48" t="str">
        <f t="array" ref="B254">IF($J254="","",INDEX(tx_ID,$J254))</f>
        <v/>
      </c>
      <c r="C254" s="49" t="str">
        <f t="array" ref="C254">IF($J254="","",INDEX(tx_Date,$J254))</f>
        <v/>
      </c>
      <c r="D254" s="48" t="str">
        <f t="array" ref="D254">IF($J254="","",INDEX(tx_CustName,$J254))</f>
        <v/>
      </c>
      <c r="E254" s="48" t="str">
        <f t="array" ref="E254">IF($J254="","",INDEX(tx_Product,$J254))</f>
        <v/>
      </c>
      <c r="F254" s="48" t="str">
        <f t="array" ref="F254">IF($J254="","",INDEX(tx_Category,$J254))</f>
        <v/>
      </c>
      <c r="G254" s="48" t="str">
        <f t="array" ref="G254">IF($J254="","",INDEX(tx_Region,$J254))</f>
        <v/>
      </c>
      <c r="H254" s="50" t="str">
        <f t="array" ref="H254">IF($J254="","",INDEX(tx_Qty,$J254))</f>
        <v/>
      </c>
      <c r="I254" s="51" t="str">
        <f t="array" ref="I254">IF($J254="","",INDEX(tx_Total,$J254))</f>
        <v/>
      </c>
      <c r="J254" s="52" t="str">
        <f t="shared" si="2"/>
        <v/>
      </c>
      <c r="L254" s="53">
        <f t="shared" si="3"/>
        <v>245</v>
      </c>
      <c r="M254" s="53">
        <f t="array" ref="M254">IF(AND(OR($B$3="All",INDEX(tx_Region,L254)=$B$3),OR($B$4="All",INDEX(tx_Category,L254)=$B$4),INDEX(tx_Total,L254)&gt;=$B$5),1,0)</f>
        <v>0</v>
      </c>
      <c r="N254" s="53">
        <f t="shared" si="4"/>
        <v>11</v>
      </c>
    </row>
    <row r="255" ht="15.75" customHeight="1">
      <c r="A255" s="47" t="str">
        <f t="shared" si="1"/>
        <v/>
      </c>
      <c r="B255" s="48" t="str">
        <f t="array" ref="B255">IF($J255="","",INDEX(tx_ID,$J255))</f>
        <v/>
      </c>
      <c r="C255" s="49" t="str">
        <f t="array" ref="C255">IF($J255="","",INDEX(tx_Date,$J255))</f>
        <v/>
      </c>
      <c r="D255" s="48" t="str">
        <f t="array" ref="D255">IF($J255="","",INDEX(tx_CustName,$J255))</f>
        <v/>
      </c>
      <c r="E255" s="48" t="str">
        <f t="array" ref="E255">IF($J255="","",INDEX(tx_Product,$J255))</f>
        <v/>
      </c>
      <c r="F255" s="48" t="str">
        <f t="array" ref="F255">IF($J255="","",INDEX(tx_Category,$J255))</f>
        <v/>
      </c>
      <c r="G255" s="48" t="str">
        <f t="array" ref="G255">IF($J255="","",INDEX(tx_Region,$J255))</f>
        <v/>
      </c>
      <c r="H255" s="50" t="str">
        <f t="array" ref="H255">IF($J255="","",INDEX(tx_Qty,$J255))</f>
        <v/>
      </c>
      <c r="I255" s="51" t="str">
        <f t="array" ref="I255">IF($J255="","",INDEX(tx_Total,$J255))</f>
        <v/>
      </c>
      <c r="J255" s="52" t="str">
        <f t="shared" si="2"/>
        <v/>
      </c>
      <c r="L255" s="53">
        <f t="shared" si="3"/>
        <v>246</v>
      </c>
      <c r="M255" s="53">
        <f t="array" ref="M255">IF(AND(OR($B$3="All",INDEX(tx_Region,L255)=$B$3),OR($B$4="All",INDEX(tx_Category,L255)=$B$4),INDEX(tx_Total,L255)&gt;=$B$5),1,0)</f>
        <v>0</v>
      </c>
      <c r="N255" s="53">
        <f t="shared" si="4"/>
        <v>11</v>
      </c>
    </row>
    <row r="256" ht="15.75" customHeight="1">
      <c r="A256" s="47" t="str">
        <f t="shared" si="1"/>
        <v/>
      </c>
      <c r="B256" s="48" t="str">
        <f t="array" ref="B256">IF($J256="","",INDEX(tx_ID,$J256))</f>
        <v/>
      </c>
      <c r="C256" s="49" t="str">
        <f t="array" ref="C256">IF($J256="","",INDEX(tx_Date,$J256))</f>
        <v/>
      </c>
      <c r="D256" s="48" t="str">
        <f t="array" ref="D256">IF($J256="","",INDEX(tx_CustName,$J256))</f>
        <v/>
      </c>
      <c r="E256" s="48" t="str">
        <f t="array" ref="E256">IF($J256="","",INDEX(tx_Product,$J256))</f>
        <v/>
      </c>
      <c r="F256" s="48" t="str">
        <f t="array" ref="F256">IF($J256="","",INDEX(tx_Category,$J256))</f>
        <v/>
      </c>
      <c r="G256" s="48" t="str">
        <f t="array" ref="G256">IF($J256="","",INDEX(tx_Region,$J256))</f>
        <v/>
      </c>
      <c r="H256" s="50" t="str">
        <f t="array" ref="H256">IF($J256="","",INDEX(tx_Qty,$J256))</f>
        <v/>
      </c>
      <c r="I256" s="51" t="str">
        <f t="array" ref="I256">IF($J256="","",INDEX(tx_Total,$J256))</f>
        <v/>
      </c>
      <c r="J256" s="52" t="str">
        <f t="shared" si="2"/>
        <v/>
      </c>
      <c r="L256" s="53">
        <f t="shared" si="3"/>
        <v>247</v>
      </c>
      <c r="M256" s="53">
        <f t="array" ref="M256">IF(AND(OR($B$3="All",INDEX(tx_Region,L256)=$B$3),OR($B$4="All",INDEX(tx_Category,L256)=$B$4),INDEX(tx_Total,L256)&gt;=$B$5),1,0)</f>
        <v>0</v>
      </c>
      <c r="N256" s="53">
        <f t="shared" si="4"/>
        <v>11</v>
      </c>
    </row>
    <row r="257" ht="15.75" customHeight="1">
      <c r="A257" s="47" t="str">
        <f t="shared" si="1"/>
        <v/>
      </c>
      <c r="B257" s="48" t="str">
        <f t="array" ref="B257">IF($J257="","",INDEX(tx_ID,$J257))</f>
        <v/>
      </c>
      <c r="C257" s="49" t="str">
        <f t="array" ref="C257">IF($J257="","",INDEX(tx_Date,$J257))</f>
        <v/>
      </c>
      <c r="D257" s="48" t="str">
        <f t="array" ref="D257">IF($J257="","",INDEX(tx_CustName,$J257))</f>
        <v/>
      </c>
      <c r="E257" s="48" t="str">
        <f t="array" ref="E257">IF($J257="","",INDEX(tx_Product,$J257))</f>
        <v/>
      </c>
      <c r="F257" s="48" t="str">
        <f t="array" ref="F257">IF($J257="","",INDEX(tx_Category,$J257))</f>
        <v/>
      </c>
      <c r="G257" s="48" t="str">
        <f t="array" ref="G257">IF($J257="","",INDEX(tx_Region,$J257))</f>
        <v/>
      </c>
      <c r="H257" s="50" t="str">
        <f t="array" ref="H257">IF($J257="","",INDEX(tx_Qty,$J257))</f>
        <v/>
      </c>
      <c r="I257" s="51" t="str">
        <f t="array" ref="I257">IF($J257="","",INDEX(tx_Total,$J257))</f>
        <v/>
      </c>
      <c r="J257" s="52" t="str">
        <f t="shared" si="2"/>
        <v/>
      </c>
      <c r="L257" s="53">
        <f t="shared" si="3"/>
        <v>248</v>
      </c>
      <c r="M257" s="53">
        <f t="array" ref="M257">IF(AND(OR($B$3="All",INDEX(tx_Region,L257)=$B$3),OR($B$4="All",INDEX(tx_Category,L257)=$B$4),INDEX(tx_Total,L257)&gt;=$B$5),1,0)</f>
        <v>0</v>
      </c>
      <c r="N257" s="53">
        <f t="shared" si="4"/>
        <v>11</v>
      </c>
    </row>
    <row r="258" ht="15.75" customHeight="1">
      <c r="A258" s="47" t="str">
        <f t="shared" si="1"/>
        <v/>
      </c>
      <c r="B258" s="48" t="str">
        <f t="array" ref="B258">IF($J258="","",INDEX(tx_ID,$J258))</f>
        <v/>
      </c>
      <c r="C258" s="49" t="str">
        <f t="array" ref="C258">IF($J258="","",INDEX(tx_Date,$J258))</f>
        <v/>
      </c>
      <c r="D258" s="48" t="str">
        <f t="array" ref="D258">IF($J258="","",INDEX(tx_CustName,$J258))</f>
        <v/>
      </c>
      <c r="E258" s="48" t="str">
        <f t="array" ref="E258">IF($J258="","",INDEX(tx_Product,$J258))</f>
        <v/>
      </c>
      <c r="F258" s="48" t="str">
        <f t="array" ref="F258">IF($J258="","",INDEX(tx_Category,$J258))</f>
        <v/>
      </c>
      <c r="G258" s="48" t="str">
        <f t="array" ref="G258">IF($J258="","",INDEX(tx_Region,$J258))</f>
        <v/>
      </c>
      <c r="H258" s="50" t="str">
        <f t="array" ref="H258">IF($J258="","",INDEX(tx_Qty,$J258))</f>
        <v/>
      </c>
      <c r="I258" s="51" t="str">
        <f t="array" ref="I258">IF($J258="","",INDEX(tx_Total,$J258))</f>
        <v/>
      </c>
      <c r="J258" s="52" t="str">
        <f t="shared" si="2"/>
        <v/>
      </c>
      <c r="L258" s="53">
        <f t="shared" si="3"/>
        <v>249</v>
      </c>
      <c r="M258" s="53">
        <f t="array" ref="M258">IF(AND(OR($B$3="All",INDEX(tx_Region,L258)=$B$3),OR($B$4="All",INDEX(tx_Category,L258)=$B$4),INDEX(tx_Total,L258)&gt;=$B$5),1,0)</f>
        <v>0</v>
      </c>
      <c r="N258" s="53">
        <f t="shared" si="4"/>
        <v>11</v>
      </c>
    </row>
    <row r="259" ht="15.75" customHeight="1">
      <c r="A259" s="47" t="str">
        <f t="shared" si="1"/>
        <v/>
      </c>
      <c r="B259" s="48" t="str">
        <f t="array" ref="B259">IF($J259="","",INDEX(tx_ID,$J259))</f>
        <v/>
      </c>
      <c r="C259" s="49" t="str">
        <f t="array" ref="C259">IF($J259="","",INDEX(tx_Date,$J259))</f>
        <v/>
      </c>
      <c r="D259" s="48" t="str">
        <f t="array" ref="D259">IF($J259="","",INDEX(tx_CustName,$J259))</f>
        <v/>
      </c>
      <c r="E259" s="48" t="str">
        <f t="array" ref="E259">IF($J259="","",INDEX(tx_Product,$J259))</f>
        <v/>
      </c>
      <c r="F259" s="48" t="str">
        <f t="array" ref="F259">IF($J259="","",INDEX(tx_Category,$J259))</f>
        <v/>
      </c>
      <c r="G259" s="48" t="str">
        <f t="array" ref="G259">IF($J259="","",INDEX(tx_Region,$J259))</f>
        <v/>
      </c>
      <c r="H259" s="50" t="str">
        <f t="array" ref="H259">IF($J259="","",INDEX(tx_Qty,$J259))</f>
        <v/>
      </c>
      <c r="I259" s="51" t="str">
        <f t="array" ref="I259">IF($J259="","",INDEX(tx_Total,$J259))</f>
        <v/>
      </c>
      <c r="J259" s="52" t="str">
        <f t="shared" si="2"/>
        <v/>
      </c>
      <c r="L259" s="53">
        <f t="shared" si="3"/>
        <v>250</v>
      </c>
      <c r="M259" s="53">
        <f t="array" ref="M259">IF(AND(OR($B$3="All",INDEX(tx_Region,L259)=$B$3),OR($B$4="All",INDEX(tx_Category,L259)=$B$4),INDEX(tx_Total,L259)&gt;=$B$5),1,0)</f>
        <v>0</v>
      </c>
      <c r="N259" s="53">
        <f t="shared" si="4"/>
        <v>11</v>
      </c>
    </row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4">
      <formula1>Lists!$J$4:$J$7</formula1>
    </dataValidation>
    <dataValidation type="list" allowBlank="1" sqref="B3">
      <formula1>Lists!$I$4:$I$9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11.0"/>
    <col customWidth="1" min="3" max="3" width="3.0"/>
    <col customWidth="1" min="4" max="4" width="30.0"/>
    <col customWidth="1" min="5" max="5" width="12.0"/>
    <col customWidth="1" min="6" max="6" width="22.0"/>
    <col customWidth="1" min="7" max="7" width="15.0"/>
    <col customWidth="1" min="8" max="8" width="7.0"/>
    <col customWidth="1" min="9" max="9" width="9.0"/>
    <col customWidth="1" min="10" max="10" width="24.0"/>
    <col customWidth="1" min="11" max="11" width="3.0"/>
    <col customWidth="1" min="12" max="12" width="24.0"/>
    <col customWidth="1" min="13" max="13" width="12.0"/>
    <col customWidth="1" min="14" max="14" width="14.0"/>
    <col customWidth="1" min="15" max="26" width="8.71"/>
  </cols>
  <sheetData>
    <row r="1">
      <c r="A1" s="1"/>
    </row>
    <row r="2">
      <c r="A2" s="23"/>
    </row>
    <row r="3">
      <c r="A3" s="54"/>
    </row>
    <row r="5" ht="30.0" customHeight="1">
      <c r="A5" s="3" t="s">
        <v>475</v>
      </c>
      <c r="B5" s="5" t="s">
        <v>476</v>
      </c>
      <c r="C5" s="3"/>
      <c r="D5" s="5" t="s">
        <v>477</v>
      </c>
      <c r="E5" s="5" t="s">
        <v>478</v>
      </c>
      <c r="F5" s="5" t="s">
        <v>479</v>
      </c>
      <c r="G5" s="3" t="s">
        <v>480</v>
      </c>
      <c r="H5" s="3"/>
      <c r="I5" s="5" t="s">
        <v>481</v>
      </c>
      <c r="J5" s="5" t="s">
        <v>482</v>
      </c>
      <c r="L5" s="27" t="s">
        <v>483</v>
      </c>
    </row>
    <row r="6">
      <c r="A6" s="11" t="str">
        <f>Lists!H4</f>
        <v>John Smith</v>
      </c>
      <c r="B6" s="19" t="str">
        <f t="shared" ref="B6:B55" si="1">IF(COUNTIF($D$6:$D$28,A6)&gt;0,"Yes","No")</f>
        <v>No</v>
      </c>
      <c r="D6" s="55" t="s">
        <v>119</v>
      </c>
      <c r="E6" s="19" t="str">
        <f t="shared" ref="E6:E28" si="2">IF(COUNTIF($A$6:$A$55,D6)&gt;0,"Match","No match")</f>
        <v>Match</v>
      </c>
      <c r="F6" s="11" t="str">
        <f t="shared" ref="F6:F28" si="3">IF(E6="Match",D6,"")</f>
        <v>Mark Carter</v>
      </c>
      <c r="G6" s="28">
        <f>IF(E6="Match",SUMIF(tx_CustName,D6,tx_Total),"")</f>
        <v>15659.65</v>
      </c>
      <c r="I6" s="52">
        <f t="shared" ref="I6:I28" si="4">IF(E6="Match",COUNTIF($E$6:E6,"Match"),"")</f>
        <v>1</v>
      </c>
      <c r="J6" s="11" t="str">
        <f t="shared" ref="J6:J28" si="5">IFERROR(INDEX($D$6:$D$28,MATCH(ROWS(J$6:J6),$I$6:$I$28,0)),"")</f>
        <v>Mark Carter</v>
      </c>
      <c r="L6" s="38" t="s">
        <v>484</v>
      </c>
      <c r="M6" s="36"/>
      <c r="N6" s="41">
        <f>COUNTA(A6:A55)</f>
        <v>50</v>
      </c>
    </row>
    <row r="7">
      <c r="A7" s="11" t="str">
        <f>Lists!H5</f>
        <v>Emma Wilson</v>
      </c>
      <c r="B7" s="19" t="str">
        <f t="shared" si="1"/>
        <v>Yes</v>
      </c>
      <c r="D7" s="55" t="s">
        <v>154</v>
      </c>
      <c r="E7" s="19" t="str">
        <f t="shared" si="2"/>
        <v>Match</v>
      </c>
      <c r="F7" s="11" t="str">
        <f t="shared" si="3"/>
        <v>Edward Mitchell</v>
      </c>
      <c r="G7" s="28">
        <f>IF(E7="Match",SUMIF(tx_CustName,D7,tx_Total),"")</f>
        <v>11919.77</v>
      </c>
      <c r="I7" s="52">
        <f t="shared" si="4"/>
        <v>2</v>
      </c>
      <c r="J7" s="11" t="str">
        <f t="shared" si="5"/>
        <v>Edward Mitchell</v>
      </c>
      <c r="L7" s="38" t="s">
        <v>485</v>
      </c>
      <c r="M7" s="36"/>
      <c r="N7" s="41">
        <f>COUNTA(D6:D28)</f>
        <v>23</v>
      </c>
    </row>
    <row r="8">
      <c r="A8" s="11" t="str">
        <f>Lists!H6</f>
        <v>Michael Brown</v>
      </c>
      <c r="B8" s="19" t="str">
        <f t="shared" si="1"/>
        <v>Yes</v>
      </c>
      <c r="D8" s="55" t="s">
        <v>131</v>
      </c>
      <c r="E8" s="19" t="str">
        <f t="shared" si="2"/>
        <v>Match</v>
      </c>
      <c r="F8" s="11" t="str">
        <f t="shared" si="3"/>
        <v>Barbara Young</v>
      </c>
      <c r="G8" s="28">
        <f>IF(E8="Match",SUMIF(tx_CustName,D8,tx_Total),"")</f>
        <v>10649.8</v>
      </c>
      <c r="I8" s="52">
        <f t="shared" si="4"/>
        <v>3</v>
      </c>
      <c r="J8" s="11" t="str">
        <f t="shared" si="5"/>
        <v>Barbara Young</v>
      </c>
      <c r="L8" s="38" t="s">
        <v>486</v>
      </c>
      <c r="M8" s="36"/>
      <c r="N8" s="41">
        <f>COUNTIF(E6:E28,"Match")</f>
        <v>18</v>
      </c>
    </row>
    <row r="9">
      <c r="A9" s="11" t="str">
        <f>Lists!H7</f>
        <v>Sarah Davis</v>
      </c>
      <c r="B9" s="19" t="str">
        <f t="shared" si="1"/>
        <v>Yes</v>
      </c>
      <c r="D9" s="55" t="s">
        <v>134</v>
      </c>
      <c r="E9" s="19" t="str">
        <f t="shared" si="2"/>
        <v>Match</v>
      </c>
      <c r="F9" s="11" t="str">
        <f t="shared" si="3"/>
        <v>Patricia Moore</v>
      </c>
      <c r="G9" s="28">
        <f>IF(E9="Match",SUMIF(tx_CustName,D9,tx_Total),"")</f>
        <v>9799.73</v>
      </c>
      <c r="I9" s="52">
        <f t="shared" si="4"/>
        <v>4</v>
      </c>
      <c r="J9" s="11" t="str">
        <f t="shared" si="5"/>
        <v>Patricia Moore</v>
      </c>
      <c r="L9" s="38" t="s">
        <v>487</v>
      </c>
      <c r="M9" s="36"/>
      <c r="N9" s="41">
        <f>COUNTIF(E6:E28,"No match")</f>
        <v>5</v>
      </c>
    </row>
    <row r="10">
      <c r="A10" s="11" t="str">
        <f>Lists!H8</f>
        <v>James Johnson</v>
      </c>
      <c r="B10" s="19" t="str">
        <f t="shared" si="1"/>
        <v>No</v>
      </c>
      <c r="D10" s="55" t="s">
        <v>39</v>
      </c>
      <c r="E10" s="19" t="str">
        <f t="shared" si="2"/>
        <v>Match</v>
      </c>
      <c r="F10" s="11" t="str">
        <f t="shared" si="3"/>
        <v>Paul Baker</v>
      </c>
      <c r="G10" s="28">
        <f>IF(E10="Match",SUMIF(tx_CustName,D10,tx_Total),"")</f>
        <v>8309.74</v>
      </c>
      <c r="I10" s="52">
        <f t="shared" si="4"/>
        <v>5</v>
      </c>
      <c r="J10" s="11" t="str">
        <f t="shared" si="5"/>
        <v>Paul Baker</v>
      </c>
      <c r="L10" s="34" t="s">
        <v>488</v>
      </c>
      <c r="M10" s="36"/>
      <c r="N10" s="33">
        <f>N8/N7</f>
        <v>0.7826086957</v>
      </c>
    </row>
    <row r="11">
      <c r="A11" s="11" t="str">
        <f>Lists!H9</f>
        <v>Lisa Anderson</v>
      </c>
      <c r="B11" s="19" t="str">
        <f t="shared" si="1"/>
        <v>Yes</v>
      </c>
      <c r="D11" s="55" t="s">
        <v>75</v>
      </c>
      <c r="E11" s="19" t="str">
        <f t="shared" si="2"/>
        <v>Match</v>
      </c>
      <c r="F11" s="11" t="str">
        <f t="shared" si="3"/>
        <v>Dorothy Nelson</v>
      </c>
      <c r="G11" s="28">
        <f>IF(E11="Match",SUMIF(tx_CustName,D11,tx_Total),"")</f>
        <v>8269.79</v>
      </c>
      <c r="I11" s="52">
        <f t="shared" si="4"/>
        <v>6</v>
      </c>
      <c r="J11" s="11" t="str">
        <f t="shared" si="5"/>
        <v>Dorothy Nelson</v>
      </c>
      <c r="L11" s="38" t="s">
        <v>489</v>
      </c>
      <c r="M11" s="36"/>
      <c r="N11" s="32">
        <f>SUM(G6:G28)</f>
        <v>123326.35</v>
      </c>
    </row>
    <row r="12">
      <c r="A12" s="11" t="str">
        <f>Lists!H10</f>
        <v>David Martinez</v>
      </c>
      <c r="B12" s="19" t="str">
        <f t="shared" si="1"/>
        <v>No</v>
      </c>
      <c r="D12" s="55" t="s">
        <v>93</v>
      </c>
      <c r="E12" s="19" t="str">
        <f t="shared" si="2"/>
        <v>Match</v>
      </c>
      <c r="F12" s="11" t="str">
        <f t="shared" si="3"/>
        <v>Karen Hill</v>
      </c>
      <c r="G12" s="28">
        <f>IF(E12="Match",SUMIF(tx_CustName,D12,tx_Total),"")</f>
        <v>8009.77</v>
      </c>
      <c r="I12" s="52">
        <f t="shared" si="4"/>
        <v>7</v>
      </c>
      <c r="J12" s="11" t="str">
        <f t="shared" si="5"/>
        <v>Karen Hill</v>
      </c>
      <c r="L12" s="38" t="s">
        <v>490</v>
      </c>
      <c r="M12" s="36"/>
      <c r="N12" s="33">
        <f>N11/SUM(tx_Total)</f>
        <v>0.5380907584</v>
      </c>
    </row>
    <row r="13">
      <c r="A13" s="11" t="str">
        <f>Lists!H11</f>
        <v>Jennifer Taylor</v>
      </c>
      <c r="B13" s="19" t="str">
        <f t="shared" si="1"/>
        <v>No</v>
      </c>
      <c r="D13" s="55" t="s">
        <v>173</v>
      </c>
      <c r="E13" s="19" t="str">
        <f t="shared" si="2"/>
        <v>Match</v>
      </c>
      <c r="F13" s="11" t="str">
        <f t="shared" si="3"/>
        <v>Daniel King</v>
      </c>
      <c r="G13" s="28">
        <f>IF(E13="Match",SUMIF(tx_CustName,D13,tx_Total),"")</f>
        <v>7309.8</v>
      </c>
      <c r="I13" s="52">
        <f t="shared" si="4"/>
        <v>8</v>
      </c>
      <c r="J13" s="11" t="str">
        <f t="shared" si="5"/>
        <v>Daniel King</v>
      </c>
      <c r="L13" s="38" t="s">
        <v>491</v>
      </c>
      <c r="M13" s="36"/>
      <c r="N13" s="41">
        <f>COUNTIF(B6:B55,"No")</f>
        <v>32</v>
      </c>
    </row>
    <row r="14">
      <c r="A14" s="11" t="str">
        <f>Lists!H12</f>
        <v>Robert Thomas</v>
      </c>
      <c r="B14" s="19" t="str">
        <f t="shared" si="1"/>
        <v>Yes</v>
      </c>
      <c r="D14" s="55" t="s">
        <v>259</v>
      </c>
      <c r="E14" s="19" t="str">
        <f t="shared" si="2"/>
        <v>Match</v>
      </c>
      <c r="F14" s="11" t="str">
        <f t="shared" si="3"/>
        <v>Lawrence Reed</v>
      </c>
      <c r="G14" s="28">
        <f>IF(E14="Match",SUMIF(tx_CustName,D14,tx_Total),"")</f>
        <v>6989.77</v>
      </c>
      <c r="I14" s="52">
        <f t="shared" si="4"/>
        <v>9</v>
      </c>
      <c r="J14" s="11" t="str">
        <f t="shared" si="5"/>
        <v>Lawrence Reed</v>
      </c>
    </row>
    <row r="15">
      <c r="A15" s="11" t="str">
        <f>Lists!H13</f>
        <v>Maria Garcia</v>
      </c>
      <c r="B15" s="19" t="str">
        <f t="shared" si="1"/>
        <v>No</v>
      </c>
      <c r="D15" s="55" t="s">
        <v>51</v>
      </c>
      <c r="E15" s="19" t="str">
        <f t="shared" si="2"/>
        <v>Match</v>
      </c>
      <c r="F15" s="11" t="str">
        <f t="shared" si="3"/>
        <v>Joseph Jackson</v>
      </c>
      <c r="G15" s="28">
        <f>IF(E15="Match",SUMIF(tx_CustName,D15,tx_Total),"")</f>
        <v>6949.84</v>
      </c>
      <c r="I15" s="52">
        <f t="shared" si="4"/>
        <v>10</v>
      </c>
      <c r="J15" s="11" t="str">
        <f t="shared" si="5"/>
        <v>Joseph Jackson</v>
      </c>
    </row>
    <row r="16">
      <c r="A16" s="11" t="str">
        <f>Lists!H14</f>
        <v>William White</v>
      </c>
      <c r="B16" s="19" t="str">
        <f t="shared" si="1"/>
        <v>No</v>
      </c>
      <c r="D16" s="55" t="s">
        <v>160</v>
      </c>
      <c r="E16" s="19" t="str">
        <f t="shared" si="2"/>
        <v>Match</v>
      </c>
      <c r="F16" s="11" t="str">
        <f t="shared" si="3"/>
        <v>Emma Wilson</v>
      </c>
      <c r="G16" s="28">
        <f>IF(E16="Match",SUMIF(tx_CustName,D16,tx_Total),"")</f>
        <v>1229.88</v>
      </c>
      <c r="I16" s="52">
        <f t="shared" si="4"/>
        <v>11</v>
      </c>
      <c r="J16" s="11" t="str">
        <f t="shared" si="5"/>
        <v>Emma Wilson</v>
      </c>
    </row>
    <row r="17">
      <c r="A17" s="11" t="str">
        <f>Lists!H15</f>
        <v>Patricia Moore</v>
      </c>
      <c r="B17" s="19" t="str">
        <f t="shared" si="1"/>
        <v>Yes</v>
      </c>
      <c r="D17" s="55" t="s">
        <v>493</v>
      </c>
      <c r="E17" s="19" t="str">
        <f t="shared" si="2"/>
        <v>No match</v>
      </c>
      <c r="F17" s="11" t="str">
        <f t="shared" si="3"/>
        <v/>
      </c>
      <c r="G17" s="28" t="str">
        <f>IF(E17="Match",SUMIF(tx_CustName,D17,tx_Total),"")</f>
        <v/>
      </c>
      <c r="I17" s="52" t="str">
        <f t="shared" si="4"/>
        <v/>
      </c>
      <c r="J17" s="11" t="str">
        <f t="shared" si="5"/>
        <v>Michael Brown</v>
      </c>
    </row>
    <row r="18">
      <c r="A18" s="11" t="str">
        <f>Lists!H16</f>
        <v>Joseph Jackson</v>
      </c>
      <c r="B18" s="19" t="str">
        <f t="shared" si="1"/>
        <v>Yes</v>
      </c>
      <c r="D18" s="55" t="s">
        <v>70</v>
      </c>
      <c r="E18" s="19" t="str">
        <f t="shared" si="2"/>
        <v>Match</v>
      </c>
      <c r="F18" s="11" t="str">
        <f t="shared" si="3"/>
        <v>Michael Brown</v>
      </c>
      <c r="G18" s="28">
        <f>IF(E18="Match",SUMIF(tx_CustName,D18,tx_Total),"")</f>
        <v>6169.74</v>
      </c>
      <c r="I18" s="52">
        <f t="shared" si="4"/>
        <v>12</v>
      </c>
      <c r="J18" s="11" t="str">
        <f t="shared" si="5"/>
        <v>Sarah Davis</v>
      </c>
    </row>
    <row r="19">
      <c r="A19" s="11" t="str">
        <f>Lists!H17</f>
        <v>Linda Martin</v>
      </c>
      <c r="B19" s="19" t="str">
        <f t="shared" si="1"/>
        <v>Yes</v>
      </c>
      <c r="D19" s="55" t="s">
        <v>180</v>
      </c>
      <c r="E19" s="19" t="str">
        <f t="shared" si="2"/>
        <v>Match</v>
      </c>
      <c r="F19" s="11" t="str">
        <f t="shared" si="3"/>
        <v>Sarah Davis</v>
      </c>
      <c r="G19" s="28">
        <f>IF(E19="Match",SUMIF(tx_CustName,D19,tx_Total),"")</f>
        <v>5499.81</v>
      </c>
      <c r="I19" s="52">
        <f t="shared" si="4"/>
        <v>13</v>
      </c>
      <c r="J19" s="11" t="str">
        <f t="shared" si="5"/>
        <v>Linda Martin</v>
      </c>
    </row>
    <row r="20">
      <c r="A20" s="11" t="str">
        <f>Lists!H18</f>
        <v>Richard Lee</v>
      </c>
      <c r="B20" s="19" t="str">
        <f t="shared" si="1"/>
        <v>No</v>
      </c>
      <c r="D20" s="55" t="s">
        <v>494</v>
      </c>
      <c r="E20" s="19" t="str">
        <f t="shared" si="2"/>
        <v>No match</v>
      </c>
      <c r="F20" s="11" t="str">
        <f t="shared" si="3"/>
        <v/>
      </c>
      <c r="G20" s="28" t="str">
        <f>IF(E20="Match",SUMIF(tx_CustName,D20,tx_Total),"")</f>
        <v/>
      </c>
      <c r="I20" s="52" t="str">
        <f t="shared" si="4"/>
        <v/>
      </c>
      <c r="J20" s="11" t="str">
        <f t="shared" si="5"/>
        <v>Helen Roberts</v>
      </c>
    </row>
    <row r="21" ht="15.75" customHeight="1">
      <c r="A21" s="11" t="str">
        <f>Lists!H19</f>
        <v>Elizabeth Hall</v>
      </c>
      <c r="B21" s="19" t="str">
        <f t="shared" si="1"/>
        <v>No</v>
      </c>
      <c r="D21" s="55" t="s">
        <v>146</v>
      </c>
      <c r="E21" s="19" t="str">
        <f t="shared" si="2"/>
        <v>Match</v>
      </c>
      <c r="F21" s="11" t="str">
        <f t="shared" si="3"/>
        <v>Linda Martin</v>
      </c>
      <c r="G21" s="28">
        <f>IF(E21="Match",SUMIF(tx_CustName,D21,tx_Total),"")</f>
        <v>1289.9</v>
      </c>
      <c r="I21" s="52">
        <f t="shared" si="4"/>
        <v>14</v>
      </c>
      <c r="J21" s="11" t="str">
        <f t="shared" si="5"/>
        <v>Kevin Scott</v>
      </c>
    </row>
    <row r="22" ht="15.75" customHeight="1">
      <c r="A22" s="11" t="str">
        <f>Lists!H20</f>
        <v>Charles Allen</v>
      </c>
      <c r="B22" s="19" t="str">
        <f t="shared" si="1"/>
        <v>No</v>
      </c>
      <c r="D22" s="55" t="s">
        <v>150</v>
      </c>
      <c r="E22" s="19" t="str">
        <f t="shared" si="2"/>
        <v>Match</v>
      </c>
      <c r="F22" s="11" t="str">
        <f t="shared" si="3"/>
        <v>Helen Roberts</v>
      </c>
      <c r="G22" s="28">
        <f>IF(E22="Match",SUMIF(tx_CustName,D22,tx_Total),"")</f>
        <v>6459.79</v>
      </c>
      <c r="I22" s="52">
        <f t="shared" si="4"/>
        <v>15</v>
      </c>
      <c r="J22" s="11" t="str">
        <f t="shared" si="5"/>
        <v>Robert Thomas</v>
      </c>
    </row>
    <row r="23" ht="15.75" customHeight="1">
      <c r="A23" s="11" t="str">
        <f>Lists!H21</f>
        <v>Barbara Young</v>
      </c>
      <c r="B23" s="19" t="str">
        <f t="shared" si="1"/>
        <v>Yes</v>
      </c>
      <c r="D23" s="55" t="s">
        <v>496</v>
      </c>
      <c r="E23" s="19" t="str">
        <f t="shared" si="2"/>
        <v>No match</v>
      </c>
      <c r="F23" s="11" t="str">
        <f t="shared" si="3"/>
        <v/>
      </c>
      <c r="G23" s="28" t="str">
        <f>IF(E23="Match",SUMIF(tx_CustName,D23,tx_Total),"")</f>
        <v/>
      </c>
      <c r="I23" s="52" t="str">
        <f t="shared" si="4"/>
        <v/>
      </c>
      <c r="J23" s="11" t="str">
        <f t="shared" si="5"/>
        <v>Lisa Anderson</v>
      </c>
    </row>
    <row r="24" ht="15.75" customHeight="1">
      <c r="A24" s="11" t="str">
        <f>Lists!H22</f>
        <v>Daniel King</v>
      </c>
      <c r="B24" s="19" t="str">
        <f t="shared" si="1"/>
        <v>Yes</v>
      </c>
      <c r="D24" s="55" t="s">
        <v>54</v>
      </c>
      <c r="E24" s="19" t="str">
        <f t="shared" si="2"/>
        <v>Match</v>
      </c>
      <c r="F24" s="11" t="str">
        <f t="shared" si="3"/>
        <v>Kevin Scott</v>
      </c>
      <c r="G24" s="28">
        <f>IF(E24="Match",SUMIF(tx_CustName,D24,tx_Total),"")</f>
        <v>3259.87</v>
      </c>
      <c r="I24" s="52">
        <f t="shared" si="4"/>
        <v>16</v>
      </c>
      <c r="J24" s="11" t="str">
        <f t="shared" si="5"/>
        <v/>
      </c>
    </row>
    <row r="25" ht="15.75" customHeight="1">
      <c r="A25" s="11" t="str">
        <f>Lists!H23</f>
        <v>Margaret Wright</v>
      </c>
      <c r="B25" s="19" t="str">
        <f t="shared" si="1"/>
        <v>No</v>
      </c>
      <c r="D25" s="55" t="s">
        <v>497</v>
      </c>
      <c r="E25" s="19" t="str">
        <f t="shared" si="2"/>
        <v>No match</v>
      </c>
      <c r="F25" s="11" t="str">
        <f t="shared" si="3"/>
        <v/>
      </c>
      <c r="G25" s="28" t="str">
        <f>IF(E25="Match",SUMIF(tx_CustName,D25,tx_Total),"")</f>
        <v/>
      </c>
      <c r="I25" s="52" t="str">
        <f t="shared" si="4"/>
        <v/>
      </c>
      <c r="J25" s="11" t="str">
        <f t="shared" si="5"/>
        <v/>
      </c>
    </row>
    <row r="26" ht="15.75" customHeight="1">
      <c r="A26" s="11" t="str">
        <f>Lists!H24</f>
        <v>Kevin Scott</v>
      </c>
      <c r="B26" s="19" t="str">
        <f t="shared" si="1"/>
        <v>Yes</v>
      </c>
      <c r="D26" s="55" t="s">
        <v>88</v>
      </c>
      <c r="E26" s="19" t="str">
        <f t="shared" si="2"/>
        <v>Match</v>
      </c>
      <c r="F26" s="11" t="str">
        <f t="shared" si="3"/>
        <v>Robert Thomas</v>
      </c>
      <c r="G26" s="28">
        <f>IF(E26="Match",SUMIF(tx_CustName,D26,tx_Total),"")</f>
        <v>3509.9</v>
      </c>
      <c r="I26" s="52">
        <f t="shared" si="4"/>
        <v>17</v>
      </c>
      <c r="J26" s="11" t="str">
        <f t="shared" si="5"/>
        <v/>
      </c>
    </row>
    <row r="27" ht="15.75" customHeight="1">
      <c r="A27" s="11" t="str">
        <f>Lists!H25</f>
        <v>Susan Green</v>
      </c>
      <c r="B27" s="19" t="str">
        <f t="shared" si="1"/>
        <v>No</v>
      </c>
      <c r="D27" s="55" t="s">
        <v>498</v>
      </c>
      <c r="E27" s="19" t="str">
        <f t="shared" si="2"/>
        <v>No match</v>
      </c>
      <c r="F27" s="11" t="str">
        <f t="shared" si="3"/>
        <v/>
      </c>
      <c r="G27" s="28" t="str">
        <f>IF(E27="Match",SUMIF(tx_CustName,D27,tx_Total),"")</f>
        <v/>
      </c>
      <c r="I27" s="52" t="str">
        <f t="shared" si="4"/>
        <v/>
      </c>
      <c r="J27" s="11" t="str">
        <f t="shared" si="5"/>
        <v/>
      </c>
    </row>
    <row r="28" ht="15.75" customHeight="1">
      <c r="A28" s="11" t="str">
        <f>Lists!H26</f>
        <v>Paul Baker</v>
      </c>
      <c r="B28" s="19" t="str">
        <f t="shared" si="1"/>
        <v>Yes</v>
      </c>
      <c r="D28" s="55" t="s">
        <v>158</v>
      </c>
      <c r="E28" s="19" t="str">
        <f t="shared" si="2"/>
        <v>Match</v>
      </c>
      <c r="F28" s="11" t="str">
        <f t="shared" si="3"/>
        <v>Lisa Anderson</v>
      </c>
      <c r="G28" s="28">
        <f>IF(E28="Match",SUMIF(tx_CustName,D28,tx_Total),"")</f>
        <v>2039.8</v>
      </c>
      <c r="I28" s="52">
        <f t="shared" si="4"/>
        <v>18</v>
      </c>
      <c r="J28" s="11" t="str">
        <f t="shared" si="5"/>
        <v/>
      </c>
    </row>
    <row r="29" ht="15.75" customHeight="1">
      <c r="A29" s="11" t="str">
        <f>Lists!H27</f>
        <v>Dorothy Nelson</v>
      </c>
      <c r="B29" s="19" t="str">
        <f t="shared" si="1"/>
        <v>Yes</v>
      </c>
    </row>
    <row r="30" ht="15.75" customHeight="1">
      <c r="A30" s="11" t="str">
        <f>Lists!H28</f>
        <v>Mark Carter</v>
      </c>
      <c r="B30" s="19" t="str">
        <f t="shared" si="1"/>
        <v>Yes</v>
      </c>
    </row>
    <row r="31" ht="15.75" customHeight="1">
      <c r="A31" s="11" t="str">
        <f>Lists!H29</f>
        <v>Karen Hill</v>
      </c>
      <c r="B31" s="19" t="str">
        <f t="shared" si="1"/>
        <v>Yes</v>
      </c>
    </row>
    <row r="32" ht="15.75" customHeight="1">
      <c r="A32" s="11" t="str">
        <f>Lists!H30</f>
        <v>George Adams</v>
      </c>
      <c r="B32" s="19" t="str">
        <f t="shared" si="1"/>
        <v>No</v>
      </c>
    </row>
    <row r="33" ht="15.75" customHeight="1">
      <c r="A33" s="11" t="str">
        <f>Lists!H31</f>
        <v>Betty Campbell</v>
      </c>
      <c r="B33" s="19" t="str">
        <f t="shared" si="1"/>
        <v>No</v>
      </c>
    </row>
    <row r="34" ht="15.75" customHeight="1">
      <c r="A34" s="11" t="str">
        <f>Lists!H32</f>
        <v>Edward Mitchell</v>
      </c>
      <c r="B34" s="19" t="str">
        <f t="shared" si="1"/>
        <v>Yes</v>
      </c>
    </row>
    <row r="35" ht="15.75" customHeight="1">
      <c r="A35" s="11" t="str">
        <f>Lists!H33</f>
        <v>Helen Roberts</v>
      </c>
      <c r="B35" s="19" t="str">
        <f t="shared" si="1"/>
        <v>Yes</v>
      </c>
    </row>
    <row r="36" ht="15.75" customHeight="1">
      <c r="A36" s="11" t="str">
        <f>Lists!H34</f>
        <v>Steven Turner</v>
      </c>
      <c r="B36" s="19" t="str">
        <f t="shared" si="1"/>
        <v>No</v>
      </c>
    </row>
    <row r="37" ht="15.75" customHeight="1">
      <c r="A37" s="11" t="str">
        <f>Lists!H35</f>
        <v>Sandra Phillips</v>
      </c>
      <c r="B37" s="19" t="str">
        <f t="shared" si="1"/>
        <v>No</v>
      </c>
    </row>
    <row r="38" ht="15.75" customHeight="1">
      <c r="A38" s="11" t="str">
        <f>Lists!H36</f>
        <v>Frank Torres</v>
      </c>
      <c r="B38" s="19" t="str">
        <f t="shared" si="1"/>
        <v>No</v>
      </c>
    </row>
    <row r="39" ht="15.75" customHeight="1">
      <c r="A39" s="11" t="str">
        <f>Lists!H37</f>
        <v>Carol Evans</v>
      </c>
      <c r="B39" s="19" t="str">
        <f t="shared" si="1"/>
        <v>No</v>
      </c>
    </row>
    <row r="40" ht="15.75" customHeight="1">
      <c r="A40" s="11" t="str">
        <f>Lists!H38</f>
        <v>Harry Morgan</v>
      </c>
      <c r="B40" s="19" t="str">
        <f t="shared" si="1"/>
        <v>No</v>
      </c>
    </row>
    <row r="41" ht="15.75" customHeight="1">
      <c r="A41" s="11" t="str">
        <f>Lists!H39</f>
        <v>Nancy Collins</v>
      </c>
      <c r="B41" s="19" t="str">
        <f t="shared" si="1"/>
        <v>No</v>
      </c>
    </row>
    <row r="42" ht="15.75" customHeight="1">
      <c r="A42" s="11" t="str">
        <f>Lists!H40</f>
        <v>Arthur Edwards</v>
      </c>
      <c r="B42" s="19" t="str">
        <f t="shared" si="1"/>
        <v>No</v>
      </c>
    </row>
    <row r="43" ht="15.75" customHeight="1">
      <c r="A43" s="11" t="str">
        <f>Lists!H41</f>
        <v>Michelle Rogers</v>
      </c>
      <c r="B43" s="19" t="str">
        <f t="shared" si="1"/>
        <v>No</v>
      </c>
    </row>
    <row r="44" ht="15.75" customHeight="1">
      <c r="A44" s="11" t="str">
        <f>Lists!H42</f>
        <v>Lawrence Reed</v>
      </c>
      <c r="B44" s="19" t="str">
        <f t="shared" si="1"/>
        <v>Yes</v>
      </c>
    </row>
    <row r="45" ht="15.75" customHeight="1">
      <c r="A45" s="11" t="str">
        <f>Lists!H43</f>
        <v>Sharon Butler</v>
      </c>
      <c r="B45" s="19" t="str">
        <f t="shared" si="1"/>
        <v>No</v>
      </c>
    </row>
    <row r="46" ht="15.75" customHeight="1">
      <c r="A46" s="11" t="str">
        <f>Lists!H44</f>
        <v>Peter Richardson</v>
      </c>
      <c r="B46" s="19" t="str">
        <f t="shared" si="1"/>
        <v>No</v>
      </c>
    </row>
    <row r="47" ht="15.75" customHeight="1">
      <c r="A47" s="11" t="str">
        <f>Lists!H45</f>
        <v>Ruth Brooks</v>
      </c>
      <c r="B47" s="19" t="str">
        <f t="shared" si="1"/>
        <v>No</v>
      </c>
    </row>
    <row r="48" ht="15.75" customHeight="1">
      <c r="A48" s="11" t="str">
        <f>Lists!H46</f>
        <v>Dennis Gray</v>
      </c>
      <c r="B48" s="19" t="str">
        <f t="shared" si="1"/>
        <v>No</v>
      </c>
    </row>
    <row r="49" ht="15.75" customHeight="1">
      <c r="A49" s="11" t="str">
        <f>Lists!H47</f>
        <v>Cynthia Price</v>
      </c>
      <c r="B49" s="19" t="str">
        <f t="shared" si="1"/>
        <v>No</v>
      </c>
    </row>
    <row r="50" ht="15.75" customHeight="1">
      <c r="A50" s="11" t="str">
        <f>Lists!H48</f>
        <v>Douglas Watson</v>
      </c>
      <c r="B50" s="19" t="str">
        <f t="shared" si="1"/>
        <v>No</v>
      </c>
    </row>
    <row r="51" ht="15.75" customHeight="1">
      <c r="A51" s="11" t="str">
        <f>Lists!H49</f>
        <v>Kathleen Bennett</v>
      </c>
      <c r="B51" s="19" t="str">
        <f t="shared" si="1"/>
        <v>No</v>
      </c>
    </row>
    <row r="52" ht="15.75" customHeight="1">
      <c r="A52" s="11" t="str">
        <f>Lists!H50</f>
        <v>Gerald Murphy</v>
      </c>
      <c r="B52" s="19" t="str">
        <f t="shared" si="1"/>
        <v>No</v>
      </c>
    </row>
    <row r="53" ht="15.75" customHeight="1">
      <c r="A53" s="11" t="str">
        <f>Lists!H51</f>
        <v>Virginia Sanders</v>
      </c>
      <c r="B53" s="19" t="str">
        <f t="shared" si="1"/>
        <v>No</v>
      </c>
    </row>
    <row r="54" ht="15.75" customHeight="1">
      <c r="A54" s="11" t="str">
        <f>Lists!H52</f>
        <v>Raymond Ross</v>
      </c>
      <c r="B54" s="19" t="str">
        <f t="shared" si="1"/>
        <v>No</v>
      </c>
    </row>
    <row r="55" ht="15.75" customHeight="1">
      <c r="A55" s="11" t="str">
        <f>Lists!H53</f>
        <v>Julie Foster</v>
      </c>
      <c r="B55" s="19" t="str">
        <f t="shared" si="1"/>
        <v>No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L6:M6"/>
    <mergeCell ref="L7:M7"/>
    <mergeCell ref="L8:M8"/>
    <mergeCell ref="L9:M9"/>
    <mergeCell ref="L10:M10"/>
    <mergeCell ref="L11:M11"/>
    <mergeCell ref="L12:M12"/>
    <mergeCell ref="L13:M13"/>
  </mergeCells>
  <conditionalFormatting sqref="E6:E28">
    <cfRule type="expression" dxfId="0" priority="1">
      <formula>$E6="Match"</formula>
    </cfRule>
  </conditionalFormatting>
  <conditionalFormatting sqref="E6:E28">
    <cfRule type="expression" dxfId="1" priority="2">
      <formula>$E6="No match"</formula>
    </cfRule>
  </conditionalFormatting>
  <conditionalFormatting sqref="B6:B55">
    <cfRule type="expression" dxfId="0" priority="3">
      <formula>$B6="Yes"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4.43" defaultRowHeight="15.0"/>
  <cols>
    <col customWidth="1" min="1" max="1" width="13.0"/>
    <col customWidth="1" min="2" max="2" width="20.0"/>
    <col customWidth="1" min="3" max="4" width="12.0"/>
    <col customWidth="1" min="5" max="5" width="9.0"/>
    <col customWidth="1" min="6" max="6" width="13.0"/>
    <col customWidth="1" min="7" max="7" width="18.0"/>
    <col customWidth="1" min="8" max="8" width="3.0"/>
    <col customWidth="1" min="9" max="9" width="24.0"/>
    <col customWidth="1" min="10" max="10" width="26.0"/>
    <col customWidth="1" min="11" max="12" width="14.0"/>
    <col customWidth="1" min="13" max="26" width="8.71"/>
  </cols>
  <sheetData>
    <row r="2">
      <c r="A2" s="3" t="s">
        <v>7</v>
      </c>
      <c r="B2" s="3" t="s">
        <v>8</v>
      </c>
      <c r="C2" s="3" t="s">
        <v>500</v>
      </c>
      <c r="D2" s="3" t="s">
        <v>501</v>
      </c>
      <c r="E2" s="3" t="s">
        <v>502</v>
      </c>
      <c r="F2" s="3" t="s">
        <v>503</v>
      </c>
      <c r="G2" s="5" t="s">
        <v>8</v>
      </c>
      <c r="I2" s="3" t="s">
        <v>443</v>
      </c>
      <c r="J2" s="3" t="s">
        <v>504</v>
      </c>
      <c r="K2" s="3" t="s">
        <v>2</v>
      </c>
      <c r="L2" s="3" t="s">
        <v>505</v>
      </c>
    </row>
    <row r="3">
      <c r="A3" s="11" t="str">
        <f>Lists!G4</f>
        <v>CUST001</v>
      </c>
      <c r="B3" s="11" t="str">
        <f>Lists!H4</f>
        <v>John Smith</v>
      </c>
      <c r="C3" s="11" t="str">
        <f t="shared" ref="C3:C52" si="1">LEFT(B3,FIND(" ",B3)-1)</f>
        <v>John</v>
      </c>
      <c r="D3" s="11" t="str">
        <f t="shared" ref="D3:D52" si="2">MID(B3,FIND(" ",B3)+1,50)</f>
        <v>Smith</v>
      </c>
      <c r="E3" s="19" t="str">
        <f t="shared" ref="E3:E52" si="3">UPPER(LEFT(C3,1)&amp;LEFT(D3,1))</f>
        <v>JS</v>
      </c>
      <c r="F3" s="19" t="str">
        <f t="shared" ref="F3:F52" si="4">UPPER(LEFT(C3,1)&amp;LEFT(D3,3))&amp;"-"&amp;RIGHT(A3,3)</f>
        <v>JSMI-001</v>
      </c>
      <c r="G3" s="11" t="str">
        <f t="shared" ref="G3:G52" si="5">D3&amp;", "&amp;LEFT(C3,1)&amp;"."</f>
        <v>Smith, J.</v>
      </c>
      <c r="I3" s="11" t="str">
        <f>Lists!D4</f>
        <v>Laptop</v>
      </c>
      <c r="J3" s="19" t="str">
        <f t="shared" ref="J3:J12" si="6">IF(ISNUMBER(FIND(" ",I3)),UPPER(LEFT(I3,1)&amp;MID(I3,FIND(" ",I3)+1,1)),UPPER(LEFT(I3,3)))</f>
        <v>LAP</v>
      </c>
      <c r="K3" s="11" t="str">
        <f t="array" ref="K3">INDEX(tx_Category,MATCH(I3,tx_Product,0))</f>
        <v>Electronics</v>
      </c>
      <c r="L3" s="19" t="str">
        <f t="shared" ref="L3:L12" si="7">UPPER(LEFT(K3,3))</f>
        <v>ELE</v>
      </c>
    </row>
    <row r="4">
      <c r="A4" s="11" t="str">
        <f>Lists!G5</f>
        <v>CUST002</v>
      </c>
      <c r="B4" s="11" t="str">
        <f>Lists!H5</f>
        <v>Emma Wilson</v>
      </c>
      <c r="C4" s="11" t="str">
        <f t="shared" si="1"/>
        <v>Emma</v>
      </c>
      <c r="D4" s="11" t="str">
        <f t="shared" si="2"/>
        <v>Wilson</v>
      </c>
      <c r="E4" s="19" t="str">
        <f t="shared" si="3"/>
        <v>EW</v>
      </c>
      <c r="F4" s="19" t="str">
        <f t="shared" si="4"/>
        <v>EWIL-002</v>
      </c>
      <c r="G4" s="11" t="str">
        <f t="shared" si="5"/>
        <v>Wilson, E.</v>
      </c>
      <c r="I4" s="11" t="str">
        <f>Lists!D5</f>
        <v>Smartphone</v>
      </c>
      <c r="J4" s="19" t="str">
        <f t="shared" si="6"/>
        <v>SMA</v>
      </c>
      <c r="K4" s="11" t="str">
        <f t="array" ref="K4">INDEX(tx_Category,MATCH(I4,tx_Product,0))</f>
        <v>Electronics</v>
      </c>
      <c r="L4" s="19" t="str">
        <f t="shared" si="7"/>
        <v>ELE</v>
      </c>
    </row>
    <row r="5">
      <c r="A5" s="11" t="str">
        <f>Lists!G6</f>
        <v>CUST003</v>
      </c>
      <c r="B5" s="11" t="str">
        <f>Lists!H6</f>
        <v>Michael Brown</v>
      </c>
      <c r="C5" s="11" t="str">
        <f t="shared" si="1"/>
        <v>Michael</v>
      </c>
      <c r="D5" s="11" t="str">
        <f t="shared" si="2"/>
        <v>Brown</v>
      </c>
      <c r="E5" s="19" t="str">
        <f t="shared" si="3"/>
        <v>MB</v>
      </c>
      <c r="F5" s="19" t="str">
        <f t="shared" si="4"/>
        <v>MBRO-003</v>
      </c>
      <c r="G5" s="11" t="str">
        <f t="shared" si="5"/>
        <v>Brown, M.</v>
      </c>
      <c r="I5" s="11" t="str">
        <f>Lists!D6</f>
        <v>Headphones</v>
      </c>
      <c r="J5" s="19" t="str">
        <f t="shared" si="6"/>
        <v>HEA</v>
      </c>
      <c r="K5" s="11" t="str">
        <f t="array" ref="K5">INDEX(tx_Category,MATCH(I5,tx_Product,0))</f>
        <v>Electronics</v>
      </c>
      <c r="L5" s="19" t="str">
        <f t="shared" si="7"/>
        <v>ELE</v>
      </c>
    </row>
    <row r="6">
      <c r="A6" s="11" t="str">
        <f>Lists!G7</f>
        <v>CUST004</v>
      </c>
      <c r="B6" s="11" t="str">
        <f>Lists!H7</f>
        <v>Sarah Davis</v>
      </c>
      <c r="C6" s="11" t="str">
        <f t="shared" si="1"/>
        <v>Sarah</v>
      </c>
      <c r="D6" s="11" t="str">
        <f t="shared" si="2"/>
        <v>Davis</v>
      </c>
      <c r="E6" s="19" t="str">
        <f t="shared" si="3"/>
        <v>SD</v>
      </c>
      <c r="F6" s="19" t="str">
        <f t="shared" si="4"/>
        <v>SDAV-004</v>
      </c>
      <c r="G6" s="11" t="str">
        <f t="shared" si="5"/>
        <v>Davis, S.</v>
      </c>
      <c r="I6" s="11" t="str">
        <f>Lists!D7</f>
        <v>Coffee Maker</v>
      </c>
      <c r="J6" s="19" t="str">
        <f t="shared" si="6"/>
        <v>CM</v>
      </c>
      <c r="K6" s="11" t="str">
        <f t="array" ref="K6">INDEX(tx_Category,MATCH(I6,tx_Product,0))</f>
        <v>Appliances</v>
      </c>
      <c r="L6" s="19" t="str">
        <f t="shared" si="7"/>
        <v>APP</v>
      </c>
    </row>
    <row r="7">
      <c r="A7" s="11" t="str">
        <f>Lists!G8</f>
        <v>CUST005</v>
      </c>
      <c r="B7" s="11" t="str">
        <f>Lists!H8</f>
        <v>James Johnson</v>
      </c>
      <c r="C7" s="11" t="str">
        <f t="shared" si="1"/>
        <v>James</v>
      </c>
      <c r="D7" s="11" t="str">
        <f t="shared" si="2"/>
        <v>Johnson</v>
      </c>
      <c r="E7" s="19" t="str">
        <f t="shared" si="3"/>
        <v>JJ</v>
      </c>
      <c r="F7" s="19" t="str">
        <f t="shared" si="4"/>
        <v>JJOH-005</v>
      </c>
      <c r="G7" s="11" t="str">
        <f t="shared" si="5"/>
        <v>Johnson, J.</v>
      </c>
      <c r="I7" s="11" t="str">
        <f>Lists!D8</f>
        <v>Blender</v>
      </c>
      <c r="J7" s="19" t="str">
        <f t="shared" si="6"/>
        <v>BLE</v>
      </c>
      <c r="K7" s="11" t="str">
        <f t="array" ref="K7">INDEX(tx_Category,MATCH(I7,tx_Product,0))</f>
        <v>Appliances</v>
      </c>
      <c r="L7" s="19" t="str">
        <f t="shared" si="7"/>
        <v>APP</v>
      </c>
    </row>
    <row r="8">
      <c r="A8" s="11" t="str">
        <f>Lists!G9</f>
        <v>CUST006</v>
      </c>
      <c r="B8" s="11" t="str">
        <f>Lists!H9</f>
        <v>Lisa Anderson</v>
      </c>
      <c r="C8" s="11" t="str">
        <f t="shared" si="1"/>
        <v>Lisa</v>
      </c>
      <c r="D8" s="11" t="str">
        <f t="shared" si="2"/>
        <v>Anderson</v>
      </c>
      <c r="E8" s="19" t="str">
        <f t="shared" si="3"/>
        <v>LA</v>
      </c>
      <c r="F8" s="19" t="str">
        <f t="shared" si="4"/>
        <v>LAND-006</v>
      </c>
      <c r="G8" s="11" t="str">
        <f t="shared" si="5"/>
        <v>Anderson, L.</v>
      </c>
      <c r="I8" s="11" t="str">
        <f>Lists!D9</f>
        <v>Office Chair</v>
      </c>
      <c r="J8" s="19" t="str">
        <f t="shared" si="6"/>
        <v>OC</v>
      </c>
      <c r="K8" s="11" t="str">
        <f t="array" ref="K8">INDEX(tx_Category,MATCH(I8,tx_Product,0))</f>
        <v>Furniture</v>
      </c>
      <c r="L8" s="19" t="str">
        <f t="shared" si="7"/>
        <v>FUR</v>
      </c>
    </row>
    <row r="9">
      <c r="A9" s="11" t="str">
        <f>Lists!G10</f>
        <v>CUST007</v>
      </c>
      <c r="B9" s="11" t="str">
        <f>Lists!H10</f>
        <v>David Martinez</v>
      </c>
      <c r="C9" s="11" t="str">
        <f t="shared" si="1"/>
        <v>David</v>
      </c>
      <c r="D9" s="11" t="str">
        <f t="shared" si="2"/>
        <v>Martinez</v>
      </c>
      <c r="E9" s="19" t="str">
        <f t="shared" si="3"/>
        <v>DM</v>
      </c>
      <c r="F9" s="19" t="str">
        <f t="shared" si="4"/>
        <v>DMAR-007</v>
      </c>
      <c r="G9" s="11" t="str">
        <f t="shared" si="5"/>
        <v>Martinez, D.</v>
      </c>
      <c r="I9" s="11" t="str">
        <f>Lists!D10</f>
        <v>Desk</v>
      </c>
      <c r="J9" s="19" t="str">
        <f t="shared" si="6"/>
        <v>DES</v>
      </c>
      <c r="K9" s="11" t="str">
        <f t="array" ref="K9">INDEX(tx_Category,MATCH(I9,tx_Product,0))</f>
        <v>Furniture</v>
      </c>
      <c r="L9" s="19" t="str">
        <f t="shared" si="7"/>
        <v>FUR</v>
      </c>
    </row>
    <row r="10">
      <c r="A10" s="11" t="str">
        <f>Lists!G11</f>
        <v>CUST008</v>
      </c>
      <c r="B10" s="11" t="str">
        <f>Lists!H11</f>
        <v>Jennifer Taylor</v>
      </c>
      <c r="C10" s="11" t="str">
        <f t="shared" si="1"/>
        <v>Jennifer</v>
      </c>
      <c r="D10" s="11" t="str">
        <f t="shared" si="2"/>
        <v>Taylor</v>
      </c>
      <c r="E10" s="19" t="str">
        <f t="shared" si="3"/>
        <v>JT</v>
      </c>
      <c r="F10" s="19" t="str">
        <f t="shared" si="4"/>
        <v>JTAY-008</v>
      </c>
      <c r="G10" s="11" t="str">
        <f t="shared" si="5"/>
        <v>Taylor, J.</v>
      </c>
      <c r="I10" s="11" t="str">
        <f>Lists!D11</f>
        <v>Bookshelf</v>
      </c>
      <c r="J10" s="19" t="str">
        <f t="shared" si="6"/>
        <v>BOO</v>
      </c>
      <c r="K10" s="11" t="str">
        <f t="array" ref="K10">INDEX(tx_Category,MATCH(I10,tx_Product,0))</f>
        <v>Furniture</v>
      </c>
      <c r="L10" s="19" t="str">
        <f t="shared" si="7"/>
        <v>FUR</v>
      </c>
    </row>
    <row r="11">
      <c r="A11" s="11" t="str">
        <f>Lists!G12</f>
        <v>CUST009</v>
      </c>
      <c r="B11" s="11" t="str">
        <f>Lists!H12</f>
        <v>Robert Thomas</v>
      </c>
      <c r="C11" s="11" t="str">
        <f t="shared" si="1"/>
        <v>Robert</v>
      </c>
      <c r="D11" s="11" t="str">
        <f t="shared" si="2"/>
        <v>Thomas</v>
      </c>
      <c r="E11" s="19" t="str">
        <f t="shared" si="3"/>
        <v>RT</v>
      </c>
      <c r="F11" s="19" t="str">
        <f t="shared" si="4"/>
        <v>RTHO-009</v>
      </c>
      <c r="G11" s="11" t="str">
        <f t="shared" si="5"/>
        <v>Thomas, R.</v>
      </c>
      <c r="I11" s="11" t="str">
        <f>Lists!D12</f>
        <v>Monitor</v>
      </c>
      <c r="J11" s="19" t="str">
        <f t="shared" si="6"/>
        <v>MON</v>
      </c>
      <c r="K11" s="11" t="str">
        <f t="array" ref="K11">INDEX(tx_Category,MATCH(I11,tx_Product,0))</f>
        <v>Electronics</v>
      </c>
      <c r="L11" s="19" t="str">
        <f t="shared" si="7"/>
        <v>ELE</v>
      </c>
    </row>
    <row r="12">
      <c r="A12" s="11" t="str">
        <f>Lists!G13</f>
        <v>CUST010</v>
      </c>
      <c r="B12" s="11" t="str">
        <f>Lists!H13</f>
        <v>Maria Garcia</v>
      </c>
      <c r="C12" s="11" t="str">
        <f t="shared" si="1"/>
        <v>Maria</v>
      </c>
      <c r="D12" s="11" t="str">
        <f t="shared" si="2"/>
        <v>Garcia</v>
      </c>
      <c r="E12" s="19" t="str">
        <f t="shared" si="3"/>
        <v>MG</v>
      </c>
      <c r="F12" s="19" t="str">
        <f t="shared" si="4"/>
        <v>MGAR-010</v>
      </c>
      <c r="G12" s="11" t="str">
        <f t="shared" si="5"/>
        <v>Garcia, M.</v>
      </c>
      <c r="I12" s="11" t="str">
        <f>Lists!D13</f>
        <v>Keyboard</v>
      </c>
      <c r="J12" s="19" t="str">
        <f t="shared" si="6"/>
        <v>KEY</v>
      </c>
      <c r="K12" s="11" t="str">
        <f t="array" ref="K12">INDEX(tx_Category,MATCH(I12,tx_Product,0))</f>
        <v>Electronics</v>
      </c>
      <c r="L12" s="19" t="str">
        <f t="shared" si="7"/>
        <v>ELE</v>
      </c>
    </row>
    <row r="13">
      <c r="A13" s="11" t="str">
        <f>Lists!G14</f>
        <v>CUST011</v>
      </c>
      <c r="B13" s="11" t="str">
        <f>Lists!H14</f>
        <v>William White</v>
      </c>
      <c r="C13" s="11" t="str">
        <f t="shared" si="1"/>
        <v>William</v>
      </c>
      <c r="D13" s="11" t="str">
        <f t="shared" si="2"/>
        <v>White</v>
      </c>
      <c r="E13" s="19" t="str">
        <f t="shared" si="3"/>
        <v>WW</v>
      </c>
      <c r="F13" s="19" t="str">
        <f t="shared" si="4"/>
        <v>WWHI-011</v>
      </c>
      <c r="G13" s="11" t="str">
        <f t="shared" si="5"/>
        <v>White, W.</v>
      </c>
    </row>
    <row r="14">
      <c r="A14" s="11" t="str">
        <f>Lists!G15</f>
        <v>CUST012</v>
      </c>
      <c r="B14" s="11" t="str">
        <f>Lists!H15</f>
        <v>Patricia Moore</v>
      </c>
      <c r="C14" s="11" t="str">
        <f t="shared" si="1"/>
        <v>Patricia</v>
      </c>
      <c r="D14" s="11" t="str">
        <f t="shared" si="2"/>
        <v>Moore</v>
      </c>
      <c r="E14" s="19" t="str">
        <f t="shared" si="3"/>
        <v>PM</v>
      </c>
      <c r="F14" s="19" t="str">
        <f t="shared" si="4"/>
        <v>PMOO-012</v>
      </c>
      <c r="G14" s="11" t="str">
        <f t="shared" si="5"/>
        <v>Moore, P.</v>
      </c>
    </row>
    <row r="15">
      <c r="A15" s="11" t="str">
        <f>Lists!G16</f>
        <v>CUST013</v>
      </c>
      <c r="B15" s="11" t="str">
        <f>Lists!H16</f>
        <v>Joseph Jackson</v>
      </c>
      <c r="C15" s="11" t="str">
        <f t="shared" si="1"/>
        <v>Joseph</v>
      </c>
      <c r="D15" s="11" t="str">
        <f t="shared" si="2"/>
        <v>Jackson</v>
      </c>
      <c r="E15" s="19" t="str">
        <f t="shared" si="3"/>
        <v>JJ</v>
      </c>
      <c r="F15" s="19" t="str">
        <f t="shared" si="4"/>
        <v>JJAC-013</v>
      </c>
      <c r="G15" s="11" t="str">
        <f t="shared" si="5"/>
        <v>Jackson, J.</v>
      </c>
      <c r="I15" s="3" t="s">
        <v>1</v>
      </c>
      <c r="J15" s="3" t="s">
        <v>537</v>
      </c>
    </row>
    <row r="16">
      <c r="A16" s="11" t="str">
        <f>Lists!G17</f>
        <v>CUST014</v>
      </c>
      <c r="B16" s="11" t="str">
        <f>Lists!H17</f>
        <v>Linda Martin</v>
      </c>
      <c r="C16" s="11" t="str">
        <f t="shared" si="1"/>
        <v>Linda</v>
      </c>
      <c r="D16" s="11" t="str">
        <f t="shared" si="2"/>
        <v>Martin</v>
      </c>
      <c r="E16" s="19" t="str">
        <f t="shared" si="3"/>
        <v>LM</v>
      </c>
      <c r="F16" s="19" t="str">
        <f t="shared" si="4"/>
        <v>LMAR-014</v>
      </c>
      <c r="G16" s="11" t="str">
        <f t="shared" si="5"/>
        <v>Martin, L.</v>
      </c>
      <c r="I16" s="11" t="str">
        <f>Lists!A4</f>
        <v>Central</v>
      </c>
      <c r="J16" s="19" t="str">
        <f t="shared" ref="J16:J20" si="8">UPPER(LEFT(I16,3))</f>
        <v>CEN</v>
      </c>
    </row>
    <row r="17">
      <c r="A17" s="11" t="str">
        <f>Lists!G18</f>
        <v>CUST015</v>
      </c>
      <c r="B17" s="11" t="str">
        <f>Lists!H18</f>
        <v>Richard Lee</v>
      </c>
      <c r="C17" s="11" t="str">
        <f t="shared" si="1"/>
        <v>Richard</v>
      </c>
      <c r="D17" s="11" t="str">
        <f t="shared" si="2"/>
        <v>Lee</v>
      </c>
      <c r="E17" s="19" t="str">
        <f t="shared" si="3"/>
        <v>RL</v>
      </c>
      <c r="F17" s="19" t="str">
        <f t="shared" si="4"/>
        <v>RLEE-015</v>
      </c>
      <c r="G17" s="11" t="str">
        <f t="shared" si="5"/>
        <v>Lee, R.</v>
      </c>
      <c r="I17" s="11" t="str">
        <f>Lists!A5</f>
        <v>East</v>
      </c>
      <c r="J17" s="19" t="str">
        <f t="shared" si="8"/>
        <v>EAS</v>
      </c>
    </row>
    <row r="18">
      <c r="A18" s="11" t="str">
        <f>Lists!G19</f>
        <v>CUST016</v>
      </c>
      <c r="B18" s="11" t="str">
        <f>Lists!H19</f>
        <v>Elizabeth Hall</v>
      </c>
      <c r="C18" s="11" t="str">
        <f t="shared" si="1"/>
        <v>Elizabeth</v>
      </c>
      <c r="D18" s="11" t="str">
        <f t="shared" si="2"/>
        <v>Hall</v>
      </c>
      <c r="E18" s="19" t="str">
        <f t="shared" si="3"/>
        <v>EH</v>
      </c>
      <c r="F18" s="19" t="str">
        <f t="shared" si="4"/>
        <v>EHAL-016</v>
      </c>
      <c r="G18" s="11" t="str">
        <f t="shared" si="5"/>
        <v>Hall, E.</v>
      </c>
      <c r="I18" s="11" t="str">
        <f>Lists!A6</f>
        <v>North</v>
      </c>
      <c r="J18" s="19" t="str">
        <f t="shared" si="8"/>
        <v>NOR</v>
      </c>
    </row>
    <row r="19" ht="15.75" customHeight="1">
      <c r="A19" s="11" t="str">
        <f>Lists!G20</f>
        <v>CUST017</v>
      </c>
      <c r="B19" s="11" t="str">
        <f>Lists!H20</f>
        <v>Charles Allen</v>
      </c>
      <c r="C19" s="11" t="str">
        <f t="shared" si="1"/>
        <v>Charles</v>
      </c>
      <c r="D19" s="11" t="str">
        <f t="shared" si="2"/>
        <v>Allen</v>
      </c>
      <c r="E19" s="19" t="str">
        <f t="shared" si="3"/>
        <v>CA</v>
      </c>
      <c r="F19" s="19" t="str">
        <f t="shared" si="4"/>
        <v>CALL-017</v>
      </c>
      <c r="G19" s="11" t="str">
        <f t="shared" si="5"/>
        <v>Allen, C.</v>
      </c>
      <c r="I19" s="11" t="str">
        <f>Lists!A7</f>
        <v>South</v>
      </c>
      <c r="J19" s="19" t="str">
        <f t="shared" si="8"/>
        <v>SOU</v>
      </c>
    </row>
    <row r="20" ht="15.75" customHeight="1">
      <c r="A20" s="11" t="str">
        <f>Lists!G21</f>
        <v>CUST018</v>
      </c>
      <c r="B20" s="11" t="str">
        <f>Lists!H21</f>
        <v>Barbara Young</v>
      </c>
      <c r="C20" s="11" t="str">
        <f t="shared" si="1"/>
        <v>Barbara</v>
      </c>
      <c r="D20" s="11" t="str">
        <f t="shared" si="2"/>
        <v>Young</v>
      </c>
      <c r="E20" s="19" t="str">
        <f t="shared" si="3"/>
        <v>BY</v>
      </c>
      <c r="F20" s="19" t="str">
        <f t="shared" si="4"/>
        <v>BYOU-018</v>
      </c>
      <c r="G20" s="11" t="str">
        <f t="shared" si="5"/>
        <v>Young, B.</v>
      </c>
      <c r="I20" s="11" t="str">
        <f>Lists!A8</f>
        <v>West</v>
      </c>
      <c r="J20" s="19" t="str">
        <f t="shared" si="8"/>
        <v>WES</v>
      </c>
    </row>
    <row r="21" ht="15.75" customHeight="1">
      <c r="A21" s="11" t="str">
        <f>Lists!G22</f>
        <v>CUST019</v>
      </c>
      <c r="B21" s="11" t="str">
        <f>Lists!H22</f>
        <v>Daniel King</v>
      </c>
      <c r="C21" s="11" t="str">
        <f t="shared" si="1"/>
        <v>Daniel</v>
      </c>
      <c r="D21" s="11" t="str">
        <f t="shared" si="2"/>
        <v>King</v>
      </c>
      <c r="E21" s="19" t="str">
        <f t="shared" si="3"/>
        <v>DK</v>
      </c>
      <c r="F21" s="19" t="str">
        <f t="shared" si="4"/>
        <v>DKIN-019</v>
      </c>
      <c r="G21" s="11" t="str">
        <f t="shared" si="5"/>
        <v>King, D.</v>
      </c>
    </row>
    <row r="22" ht="15.75" customHeight="1">
      <c r="A22" s="11" t="str">
        <f>Lists!G23</f>
        <v>CUST020</v>
      </c>
      <c r="B22" s="11" t="str">
        <f>Lists!H23</f>
        <v>Margaret Wright</v>
      </c>
      <c r="C22" s="11" t="str">
        <f t="shared" si="1"/>
        <v>Margaret</v>
      </c>
      <c r="D22" s="11" t="str">
        <f t="shared" si="2"/>
        <v>Wright</v>
      </c>
      <c r="E22" s="19" t="str">
        <f t="shared" si="3"/>
        <v>MW</v>
      </c>
      <c r="F22" s="19" t="str">
        <f t="shared" si="4"/>
        <v>MWRI-020</v>
      </c>
      <c r="G22" s="11" t="str">
        <f t="shared" si="5"/>
        <v>Wright, M.</v>
      </c>
    </row>
    <row r="23" ht="15.75" customHeight="1">
      <c r="A23" s="11" t="str">
        <f>Lists!G24</f>
        <v>CUST021</v>
      </c>
      <c r="B23" s="11" t="str">
        <f>Lists!H24</f>
        <v>Kevin Scott</v>
      </c>
      <c r="C23" s="11" t="str">
        <f t="shared" si="1"/>
        <v>Kevin</v>
      </c>
      <c r="D23" s="11" t="str">
        <f t="shared" si="2"/>
        <v>Scott</v>
      </c>
      <c r="E23" s="19" t="str">
        <f t="shared" si="3"/>
        <v>KS</v>
      </c>
      <c r="F23" s="19" t="str">
        <f t="shared" si="4"/>
        <v>KSCO-021</v>
      </c>
      <c r="G23" s="11" t="str">
        <f t="shared" si="5"/>
        <v>Scott, K.</v>
      </c>
      <c r="I23" s="3" t="s">
        <v>545</v>
      </c>
      <c r="J23" s="3" t="s">
        <v>17</v>
      </c>
    </row>
    <row r="24" ht="15.75" customHeight="1">
      <c r="A24" s="11" t="str">
        <f>Lists!G25</f>
        <v>CUST022</v>
      </c>
      <c r="B24" s="11" t="str">
        <f>Lists!H25</f>
        <v>Susan Green</v>
      </c>
      <c r="C24" s="11" t="str">
        <f t="shared" si="1"/>
        <v>Susan</v>
      </c>
      <c r="D24" s="11" t="str">
        <f t="shared" si="2"/>
        <v>Green</v>
      </c>
      <c r="E24" s="19" t="str">
        <f t="shared" si="3"/>
        <v>SG</v>
      </c>
      <c r="F24" s="19" t="str">
        <f t="shared" si="4"/>
        <v>SGRE-022</v>
      </c>
      <c r="G24" s="11" t="str">
        <f t="shared" si="5"/>
        <v>Green, S.</v>
      </c>
      <c r="I24" s="11" t="s">
        <v>194</v>
      </c>
      <c r="J24" s="11" t="str">
        <f>TEXT(MAX(tx_Date),"dddd, dd mmmm yyyy")</f>
        <v>Friday, 11 April 2025</v>
      </c>
    </row>
    <row r="25" ht="15.75" customHeight="1">
      <c r="A25" s="11" t="str">
        <f>Lists!G26</f>
        <v>CUST023</v>
      </c>
      <c r="B25" s="11" t="str">
        <f>Lists!H26</f>
        <v>Paul Baker</v>
      </c>
      <c r="C25" s="11" t="str">
        <f t="shared" si="1"/>
        <v>Paul</v>
      </c>
      <c r="D25" s="11" t="str">
        <f t="shared" si="2"/>
        <v>Baker</v>
      </c>
      <c r="E25" s="19" t="str">
        <f t="shared" si="3"/>
        <v>PB</v>
      </c>
      <c r="F25" s="19" t="str">
        <f t="shared" si="4"/>
        <v>PBAK-023</v>
      </c>
      <c r="G25" s="11" t="str">
        <f t="shared" si="5"/>
        <v>Baker, P.</v>
      </c>
      <c r="I25" s="11" t="s">
        <v>553</v>
      </c>
      <c r="J25" s="11" t="str">
        <f>TEXT(SUM(tx_Total),"$#,##0.00")</f>
        <v>$229,192.47</v>
      </c>
    </row>
    <row r="26" ht="15.75" customHeight="1">
      <c r="A26" s="11" t="str">
        <f>Lists!G27</f>
        <v>CUST024</v>
      </c>
      <c r="B26" s="11" t="str">
        <f>Lists!H27</f>
        <v>Dorothy Nelson</v>
      </c>
      <c r="C26" s="11" t="str">
        <f t="shared" si="1"/>
        <v>Dorothy</v>
      </c>
      <c r="D26" s="11" t="str">
        <f t="shared" si="2"/>
        <v>Nelson</v>
      </c>
      <c r="E26" s="19" t="str">
        <f t="shared" si="3"/>
        <v>DN</v>
      </c>
      <c r="F26" s="19" t="str">
        <f t="shared" si="4"/>
        <v>DNEL-024</v>
      </c>
      <c r="G26" s="11" t="str">
        <f t="shared" si="5"/>
        <v>Nelson, D.</v>
      </c>
      <c r="I26" s="11" t="s">
        <v>555</v>
      </c>
      <c r="J26" s="11" t="str">
        <f>TEXT(Pivot_Summaries!F26,"0.0%")</f>
        <v>74.9%</v>
      </c>
    </row>
    <row r="27" ht="15.75" customHeight="1">
      <c r="A27" s="11" t="str">
        <f>Lists!G28</f>
        <v>CUST025</v>
      </c>
      <c r="B27" s="11" t="str">
        <f>Lists!H28</f>
        <v>Mark Carter</v>
      </c>
      <c r="C27" s="11" t="str">
        <f t="shared" si="1"/>
        <v>Mark</v>
      </c>
      <c r="D27" s="11" t="str">
        <f t="shared" si="2"/>
        <v>Carter</v>
      </c>
      <c r="E27" s="19" t="str">
        <f t="shared" si="3"/>
        <v>MC</v>
      </c>
      <c r="F27" s="19" t="str">
        <f t="shared" si="4"/>
        <v>MCAR-025</v>
      </c>
      <c r="G27" s="11" t="str">
        <f t="shared" si="5"/>
        <v>Carter, M.</v>
      </c>
      <c r="I27" s="11" t="s">
        <v>556</v>
      </c>
      <c r="J27" s="11" t="str">
        <f>TEXT(TODAY(),"mmm-yy")</f>
        <v>Sep-26</v>
      </c>
    </row>
    <row r="28" ht="15.75" customHeight="1">
      <c r="A28" s="11" t="str">
        <f>Lists!G29</f>
        <v>CUST026</v>
      </c>
      <c r="B28" s="11" t="str">
        <f>Lists!H29</f>
        <v>Karen Hill</v>
      </c>
      <c r="C28" s="11" t="str">
        <f t="shared" si="1"/>
        <v>Karen</v>
      </c>
      <c r="D28" s="11" t="str">
        <f t="shared" si="2"/>
        <v>Hill</v>
      </c>
      <c r="E28" s="19" t="str">
        <f t="shared" si="3"/>
        <v>KH</v>
      </c>
      <c r="F28" s="19" t="str">
        <f t="shared" si="4"/>
        <v>KHIL-026</v>
      </c>
      <c r="G28" s="11" t="str">
        <f t="shared" si="5"/>
        <v>Hill, K.</v>
      </c>
    </row>
    <row r="29" ht="15.75" customHeight="1">
      <c r="A29" s="11" t="str">
        <f>Lists!G30</f>
        <v>CUST027</v>
      </c>
      <c r="B29" s="11" t="str">
        <f>Lists!H30</f>
        <v>George Adams</v>
      </c>
      <c r="C29" s="11" t="str">
        <f t="shared" si="1"/>
        <v>George</v>
      </c>
      <c r="D29" s="11" t="str">
        <f t="shared" si="2"/>
        <v>Adams</v>
      </c>
      <c r="E29" s="19" t="str">
        <f t="shared" si="3"/>
        <v>GA</v>
      </c>
      <c r="F29" s="19" t="str">
        <f t="shared" si="4"/>
        <v>GADA-027</v>
      </c>
      <c r="G29" s="11" t="str">
        <f t="shared" si="5"/>
        <v>Adams, G.</v>
      </c>
    </row>
    <row r="30" ht="15.75" customHeight="1">
      <c r="A30" s="11" t="str">
        <f>Lists!G31</f>
        <v>CUST028</v>
      </c>
      <c r="B30" s="11" t="str">
        <f>Lists!H31</f>
        <v>Betty Campbell</v>
      </c>
      <c r="C30" s="11" t="str">
        <f t="shared" si="1"/>
        <v>Betty</v>
      </c>
      <c r="D30" s="11" t="str">
        <f t="shared" si="2"/>
        <v>Campbell</v>
      </c>
      <c r="E30" s="19" t="str">
        <f t="shared" si="3"/>
        <v>BC</v>
      </c>
      <c r="F30" s="19" t="str">
        <f t="shared" si="4"/>
        <v>BCAM-028</v>
      </c>
      <c r="G30" s="11" t="str">
        <f t="shared" si="5"/>
        <v>Campbell, B.</v>
      </c>
    </row>
    <row r="31" ht="15.75" customHeight="1">
      <c r="A31" s="11" t="str">
        <f>Lists!G32</f>
        <v>CUST029</v>
      </c>
      <c r="B31" s="11" t="str">
        <f>Lists!H32</f>
        <v>Edward Mitchell</v>
      </c>
      <c r="C31" s="11" t="str">
        <f t="shared" si="1"/>
        <v>Edward</v>
      </c>
      <c r="D31" s="11" t="str">
        <f t="shared" si="2"/>
        <v>Mitchell</v>
      </c>
      <c r="E31" s="19" t="str">
        <f t="shared" si="3"/>
        <v>EM</v>
      </c>
      <c r="F31" s="19" t="str">
        <f t="shared" si="4"/>
        <v>EMIT-029</v>
      </c>
      <c r="G31" s="11" t="str">
        <f t="shared" si="5"/>
        <v>Mitchell, E.</v>
      </c>
    </row>
    <row r="32" ht="15.75" customHeight="1">
      <c r="A32" s="11" t="str">
        <f>Lists!G33</f>
        <v>CUST030</v>
      </c>
      <c r="B32" s="11" t="str">
        <f>Lists!H33</f>
        <v>Helen Roberts</v>
      </c>
      <c r="C32" s="11" t="str">
        <f t="shared" si="1"/>
        <v>Helen</v>
      </c>
      <c r="D32" s="11" t="str">
        <f t="shared" si="2"/>
        <v>Roberts</v>
      </c>
      <c r="E32" s="19" t="str">
        <f t="shared" si="3"/>
        <v>HR</v>
      </c>
      <c r="F32" s="19" t="str">
        <f t="shared" si="4"/>
        <v>HROB-030</v>
      </c>
      <c r="G32" s="11" t="str">
        <f t="shared" si="5"/>
        <v>Roberts, H.</v>
      </c>
    </row>
    <row r="33" ht="15.75" customHeight="1">
      <c r="A33" s="11" t="str">
        <f>Lists!G34</f>
        <v>CUST031</v>
      </c>
      <c r="B33" s="11" t="str">
        <f>Lists!H34</f>
        <v>Steven Turner</v>
      </c>
      <c r="C33" s="11" t="str">
        <f t="shared" si="1"/>
        <v>Steven</v>
      </c>
      <c r="D33" s="11" t="str">
        <f t="shared" si="2"/>
        <v>Turner</v>
      </c>
      <c r="E33" s="19" t="str">
        <f t="shared" si="3"/>
        <v>ST</v>
      </c>
      <c r="F33" s="19" t="str">
        <f t="shared" si="4"/>
        <v>STUR-031</v>
      </c>
      <c r="G33" s="11" t="str">
        <f t="shared" si="5"/>
        <v>Turner, S.</v>
      </c>
    </row>
    <row r="34" ht="15.75" customHeight="1">
      <c r="A34" s="11" t="str">
        <f>Lists!G35</f>
        <v>CUST032</v>
      </c>
      <c r="B34" s="11" t="str">
        <f>Lists!H35</f>
        <v>Sandra Phillips</v>
      </c>
      <c r="C34" s="11" t="str">
        <f t="shared" si="1"/>
        <v>Sandra</v>
      </c>
      <c r="D34" s="11" t="str">
        <f t="shared" si="2"/>
        <v>Phillips</v>
      </c>
      <c r="E34" s="19" t="str">
        <f t="shared" si="3"/>
        <v>SP</v>
      </c>
      <c r="F34" s="19" t="str">
        <f t="shared" si="4"/>
        <v>SPHI-032</v>
      </c>
      <c r="G34" s="11" t="str">
        <f t="shared" si="5"/>
        <v>Phillips, S.</v>
      </c>
    </row>
    <row r="35" ht="15.75" customHeight="1">
      <c r="A35" s="11" t="str">
        <f>Lists!G36</f>
        <v>CUST033</v>
      </c>
      <c r="B35" s="11" t="str">
        <f>Lists!H36</f>
        <v>Frank Torres</v>
      </c>
      <c r="C35" s="11" t="str">
        <f t="shared" si="1"/>
        <v>Frank</v>
      </c>
      <c r="D35" s="11" t="str">
        <f t="shared" si="2"/>
        <v>Torres</v>
      </c>
      <c r="E35" s="19" t="str">
        <f t="shared" si="3"/>
        <v>FT</v>
      </c>
      <c r="F35" s="19" t="str">
        <f t="shared" si="4"/>
        <v>FTOR-033</v>
      </c>
      <c r="G35" s="11" t="str">
        <f t="shared" si="5"/>
        <v>Torres, F.</v>
      </c>
    </row>
    <row r="36" ht="15.75" customHeight="1">
      <c r="A36" s="11" t="str">
        <f>Lists!G37</f>
        <v>CUST034</v>
      </c>
      <c r="B36" s="11" t="str">
        <f>Lists!H37</f>
        <v>Carol Evans</v>
      </c>
      <c r="C36" s="11" t="str">
        <f t="shared" si="1"/>
        <v>Carol</v>
      </c>
      <c r="D36" s="11" t="str">
        <f t="shared" si="2"/>
        <v>Evans</v>
      </c>
      <c r="E36" s="19" t="str">
        <f t="shared" si="3"/>
        <v>CE</v>
      </c>
      <c r="F36" s="19" t="str">
        <f t="shared" si="4"/>
        <v>CEVA-034</v>
      </c>
      <c r="G36" s="11" t="str">
        <f t="shared" si="5"/>
        <v>Evans, C.</v>
      </c>
    </row>
    <row r="37" ht="15.75" customHeight="1">
      <c r="A37" s="11" t="str">
        <f>Lists!G38</f>
        <v>CUST035</v>
      </c>
      <c r="B37" s="11" t="str">
        <f>Lists!H38</f>
        <v>Harry Morgan</v>
      </c>
      <c r="C37" s="11" t="str">
        <f t="shared" si="1"/>
        <v>Harry</v>
      </c>
      <c r="D37" s="11" t="str">
        <f t="shared" si="2"/>
        <v>Morgan</v>
      </c>
      <c r="E37" s="19" t="str">
        <f t="shared" si="3"/>
        <v>HM</v>
      </c>
      <c r="F37" s="19" t="str">
        <f t="shared" si="4"/>
        <v>HMOR-035</v>
      </c>
      <c r="G37" s="11" t="str">
        <f t="shared" si="5"/>
        <v>Morgan, H.</v>
      </c>
    </row>
    <row r="38" ht="15.75" customHeight="1">
      <c r="A38" s="11" t="str">
        <f>Lists!G39</f>
        <v>CUST036</v>
      </c>
      <c r="B38" s="11" t="str">
        <f>Lists!H39</f>
        <v>Nancy Collins</v>
      </c>
      <c r="C38" s="11" t="str">
        <f t="shared" si="1"/>
        <v>Nancy</v>
      </c>
      <c r="D38" s="11" t="str">
        <f t="shared" si="2"/>
        <v>Collins</v>
      </c>
      <c r="E38" s="19" t="str">
        <f t="shared" si="3"/>
        <v>NC</v>
      </c>
      <c r="F38" s="19" t="str">
        <f t="shared" si="4"/>
        <v>NCOL-036</v>
      </c>
      <c r="G38" s="11" t="str">
        <f t="shared" si="5"/>
        <v>Collins, N.</v>
      </c>
    </row>
    <row r="39" ht="15.75" customHeight="1">
      <c r="A39" s="11" t="str">
        <f>Lists!G40</f>
        <v>CUST037</v>
      </c>
      <c r="B39" s="11" t="str">
        <f>Lists!H40</f>
        <v>Arthur Edwards</v>
      </c>
      <c r="C39" s="11" t="str">
        <f t="shared" si="1"/>
        <v>Arthur</v>
      </c>
      <c r="D39" s="11" t="str">
        <f t="shared" si="2"/>
        <v>Edwards</v>
      </c>
      <c r="E39" s="19" t="str">
        <f t="shared" si="3"/>
        <v>AE</v>
      </c>
      <c r="F39" s="19" t="str">
        <f t="shared" si="4"/>
        <v>AEDW-037</v>
      </c>
      <c r="G39" s="11" t="str">
        <f t="shared" si="5"/>
        <v>Edwards, A.</v>
      </c>
    </row>
    <row r="40" ht="15.75" customHeight="1">
      <c r="A40" s="11" t="str">
        <f>Lists!G41</f>
        <v>CUST038</v>
      </c>
      <c r="B40" s="11" t="str">
        <f>Lists!H41</f>
        <v>Michelle Rogers</v>
      </c>
      <c r="C40" s="11" t="str">
        <f t="shared" si="1"/>
        <v>Michelle</v>
      </c>
      <c r="D40" s="11" t="str">
        <f t="shared" si="2"/>
        <v>Rogers</v>
      </c>
      <c r="E40" s="19" t="str">
        <f t="shared" si="3"/>
        <v>MR</v>
      </c>
      <c r="F40" s="19" t="str">
        <f t="shared" si="4"/>
        <v>MROG-038</v>
      </c>
      <c r="G40" s="11" t="str">
        <f t="shared" si="5"/>
        <v>Rogers, M.</v>
      </c>
    </row>
    <row r="41" ht="15.75" customHeight="1">
      <c r="A41" s="11" t="str">
        <f>Lists!G42</f>
        <v>CUST039</v>
      </c>
      <c r="B41" s="11" t="str">
        <f>Lists!H42</f>
        <v>Lawrence Reed</v>
      </c>
      <c r="C41" s="11" t="str">
        <f t="shared" si="1"/>
        <v>Lawrence</v>
      </c>
      <c r="D41" s="11" t="str">
        <f t="shared" si="2"/>
        <v>Reed</v>
      </c>
      <c r="E41" s="19" t="str">
        <f t="shared" si="3"/>
        <v>LR</v>
      </c>
      <c r="F41" s="19" t="str">
        <f t="shared" si="4"/>
        <v>LREE-039</v>
      </c>
      <c r="G41" s="11" t="str">
        <f t="shared" si="5"/>
        <v>Reed, L.</v>
      </c>
    </row>
    <row r="42" ht="15.75" customHeight="1">
      <c r="A42" s="11" t="str">
        <f>Lists!G43</f>
        <v>CUST040</v>
      </c>
      <c r="B42" s="11" t="str">
        <f>Lists!H43</f>
        <v>Sharon Butler</v>
      </c>
      <c r="C42" s="11" t="str">
        <f t="shared" si="1"/>
        <v>Sharon</v>
      </c>
      <c r="D42" s="11" t="str">
        <f t="shared" si="2"/>
        <v>Butler</v>
      </c>
      <c r="E42" s="19" t="str">
        <f t="shared" si="3"/>
        <v>SB</v>
      </c>
      <c r="F42" s="19" t="str">
        <f t="shared" si="4"/>
        <v>SBUT-040</v>
      </c>
      <c r="G42" s="11" t="str">
        <f t="shared" si="5"/>
        <v>Butler, S.</v>
      </c>
    </row>
    <row r="43" ht="15.75" customHeight="1">
      <c r="A43" s="11" t="str">
        <f>Lists!G44</f>
        <v>CUST041</v>
      </c>
      <c r="B43" s="11" t="str">
        <f>Lists!H44</f>
        <v>Peter Richardson</v>
      </c>
      <c r="C43" s="11" t="str">
        <f t="shared" si="1"/>
        <v>Peter</v>
      </c>
      <c r="D43" s="11" t="str">
        <f t="shared" si="2"/>
        <v>Richardson</v>
      </c>
      <c r="E43" s="19" t="str">
        <f t="shared" si="3"/>
        <v>PR</v>
      </c>
      <c r="F43" s="19" t="str">
        <f t="shared" si="4"/>
        <v>PRIC-041</v>
      </c>
      <c r="G43" s="11" t="str">
        <f t="shared" si="5"/>
        <v>Richardson, P.</v>
      </c>
    </row>
    <row r="44" ht="15.75" customHeight="1">
      <c r="A44" s="11" t="str">
        <f>Lists!G45</f>
        <v>CUST042</v>
      </c>
      <c r="B44" s="11" t="str">
        <f>Lists!H45</f>
        <v>Ruth Brooks</v>
      </c>
      <c r="C44" s="11" t="str">
        <f t="shared" si="1"/>
        <v>Ruth</v>
      </c>
      <c r="D44" s="11" t="str">
        <f t="shared" si="2"/>
        <v>Brooks</v>
      </c>
      <c r="E44" s="19" t="str">
        <f t="shared" si="3"/>
        <v>RB</v>
      </c>
      <c r="F44" s="19" t="str">
        <f t="shared" si="4"/>
        <v>RBRO-042</v>
      </c>
      <c r="G44" s="11" t="str">
        <f t="shared" si="5"/>
        <v>Brooks, R.</v>
      </c>
    </row>
    <row r="45" ht="15.75" customHeight="1">
      <c r="A45" s="11" t="str">
        <f>Lists!G46</f>
        <v>CUST043</v>
      </c>
      <c r="B45" s="11" t="str">
        <f>Lists!H46</f>
        <v>Dennis Gray</v>
      </c>
      <c r="C45" s="11" t="str">
        <f t="shared" si="1"/>
        <v>Dennis</v>
      </c>
      <c r="D45" s="11" t="str">
        <f t="shared" si="2"/>
        <v>Gray</v>
      </c>
      <c r="E45" s="19" t="str">
        <f t="shared" si="3"/>
        <v>DG</v>
      </c>
      <c r="F45" s="19" t="str">
        <f t="shared" si="4"/>
        <v>DGRA-043</v>
      </c>
      <c r="G45" s="11" t="str">
        <f t="shared" si="5"/>
        <v>Gray, D.</v>
      </c>
    </row>
    <row r="46" ht="15.75" customHeight="1">
      <c r="A46" s="11" t="str">
        <f>Lists!G47</f>
        <v>CUST044</v>
      </c>
      <c r="B46" s="11" t="str">
        <f>Lists!H47</f>
        <v>Cynthia Price</v>
      </c>
      <c r="C46" s="11" t="str">
        <f t="shared" si="1"/>
        <v>Cynthia</v>
      </c>
      <c r="D46" s="11" t="str">
        <f t="shared" si="2"/>
        <v>Price</v>
      </c>
      <c r="E46" s="19" t="str">
        <f t="shared" si="3"/>
        <v>CP</v>
      </c>
      <c r="F46" s="19" t="str">
        <f t="shared" si="4"/>
        <v>CPRI-044</v>
      </c>
      <c r="G46" s="11" t="str">
        <f t="shared" si="5"/>
        <v>Price, C.</v>
      </c>
    </row>
    <row r="47" ht="15.75" customHeight="1">
      <c r="A47" s="11" t="str">
        <f>Lists!G48</f>
        <v>CUST045</v>
      </c>
      <c r="B47" s="11" t="str">
        <f>Lists!H48</f>
        <v>Douglas Watson</v>
      </c>
      <c r="C47" s="11" t="str">
        <f t="shared" si="1"/>
        <v>Douglas</v>
      </c>
      <c r="D47" s="11" t="str">
        <f t="shared" si="2"/>
        <v>Watson</v>
      </c>
      <c r="E47" s="19" t="str">
        <f t="shared" si="3"/>
        <v>DW</v>
      </c>
      <c r="F47" s="19" t="str">
        <f t="shared" si="4"/>
        <v>DWAT-045</v>
      </c>
      <c r="G47" s="11" t="str">
        <f t="shared" si="5"/>
        <v>Watson, D.</v>
      </c>
    </row>
    <row r="48" ht="15.75" customHeight="1">
      <c r="A48" s="11" t="str">
        <f>Lists!G49</f>
        <v>CUST046</v>
      </c>
      <c r="B48" s="11" t="str">
        <f>Lists!H49</f>
        <v>Kathleen Bennett</v>
      </c>
      <c r="C48" s="11" t="str">
        <f t="shared" si="1"/>
        <v>Kathleen</v>
      </c>
      <c r="D48" s="11" t="str">
        <f t="shared" si="2"/>
        <v>Bennett</v>
      </c>
      <c r="E48" s="19" t="str">
        <f t="shared" si="3"/>
        <v>KB</v>
      </c>
      <c r="F48" s="19" t="str">
        <f t="shared" si="4"/>
        <v>KBEN-046</v>
      </c>
      <c r="G48" s="11" t="str">
        <f t="shared" si="5"/>
        <v>Bennett, K.</v>
      </c>
    </row>
    <row r="49" ht="15.75" customHeight="1">
      <c r="A49" s="11" t="str">
        <f>Lists!G50</f>
        <v>CUST047</v>
      </c>
      <c r="B49" s="11" t="str">
        <f>Lists!H50</f>
        <v>Gerald Murphy</v>
      </c>
      <c r="C49" s="11" t="str">
        <f t="shared" si="1"/>
        <v>Gerald</v>
      </c>
      <c r="D49" s="11" t="str">
        <f t="shared" si="2"/>
        <v>Murphy</v>
      </c>
      <c r="E49" s="19" t="str">
        <f t="shared" si="3"/>
        <v>GM</v>
      </c>
      <c r="F49" s="19" t="str">
        <f t="shared" si="4"/>
        <v>GMUR-047</v>
      </c>
      <c r="G49" s="11" t="str">
        <f t="shared" si="5"/>
        <v>Murphy, G.</v>
      </c>
    </row>
    <row r="50" ht="15.75" customHeight="1">
      <c r="A50" s="11" t="str">
        <f>Lists!G51</f>
        <v>CUST048</v>
      </c>
      <c r="B50" s="11" t="str">
        <f>Lists!H51</f>
        <v>Virginia Sanders</v>
      </c>
      <c r="C50" s="11" t="str">
        <f t="shared" si="1"/>
        <v>Virginia</v>
      </c>
      <c r="D50" s="11" t="str">
        <f t="shared" si="2"/>
        <v>Sanders</v>
      </c>
      <c r="E50" s="19" t="str">
        <f t="shared" si="3"/>
        <v>VS</v>
      </c>
      <c r="F50" s="19" t="str">
        <f t="shared" si="4"/>
        <v>VSAN-048</v>
      </c>
      <c r="G50" s="11" t="str">
        <f t="shared" si="5"/>
        <v>Sanders, V.</v>
      </c>
    </row>
    <row r="51" ht="15.75" customHeight="1">
      <c r="A51" s="11" t="str">
        <f>Lists!G52</f>
        <v>CUST049</v>
      </c>
      <c r="B51" s="11" t="str">
        <f>Lists!H52</f>
        <v>Raymond Ross</v>
      </c>
      <c r="C51" s="11" t="str">
        <f t="shared" si="1"/>
        <v>Raymond</v>
      </c>
      <c r="D51" s="11" t="str">
        <f t="shared" si="2"/>
        <v>Ross</v>
      </c>
      <c r="E51" s="19" t="str">
        <f t="shared" si="3"/>
        <v>RR</v>
      </c>
      <c r="F51" s="19" t="str">
        <f t="shared" si="4"/>
        <v>RROS-049</v>
      </c>
      <c r="G51" s="11" t="str">
        <f t="shared" si="5"/>
        <v>Ross, R.</v>
      </c>
    </row>
    <row r="52" ht="15.75" customHeight="1">
      <c r="A52" s="11" t="str">
        <f>Lists!G53</f>
        <v>CUST050</v>
      </c>
      <c r="B52" s="11" t="str">
        <f>Lists!H53</f>
        <v>Julie Foster</v>
      </c>
      <c r="C52" s="11" t="str">
        <f t="shared" si="1"/>
        <v>Julie</v>
      </c>
      <c r="D52" s="11" t="str">
        <f t="shared" si="2"/>
        <v>Foster</v>
      </c>
      <c r="E52" s="19" t="str">
        <f t="shared" si="3"/>
        <v>JF</v>
      </c>
      <c r="F52" s="19" t="str">
        <f t="shared" si="4"/>
        <v>JFOS-050</v>
      </c>
      <c r="G52" s="11" t="str">
        <f t="shared" si="5"/>
        <v>Foster, J.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8.0"/>
    <col customWidth="1" min="3" max="3" width="22.0"/>
    <col customWidth="1" min="4" max="4" width="18.0"/>
    <col customWidth="1" min="5" max="6" width="16.0"/>
    <col customWidth="1" min="7" max="7" width="7.29"/>
    <col customWidth="1" min="8" max="26" width="8.71"/>
  </cols>
  <sheetData>
    <row r="1">
      <c r="A1" s="1"/>
    </row>
    <row r="2">
      <c r="A2" s="23"/>
    </row>
    <row r="3">
      <c r="A3" s="6" t="s">
        <v>506</v>
      </c>
    </row>
    <row r="4">
      <c r="A4" s="11" t="s">
        <v>507</v>
      </c>
      <c r="B4" s="32">
        <f>SUM(tx_Total)</f>
        <v>229192.47</v>
      </c>
    </row>
    <row r="5">
      <c r="A5" s="11" t="s">
        <v>508</v>
      </c>
      <c r="B5" s="41">
        <f>SUM(tx_Qty)</f>
        <v>753</v>
      </c>
    </row>
    <row r="6">
      <c r="A6" s="11" t="s">
        <v>509</v>
      </c>
      <c r="B6" s="57">
        <f>B4/B5</f>
        <v>304.3724701</v>
      </c>
    </row>
    <row r="8">
      <c r="A8" s="6" t="s">
        <v>510</v>
      </c>
    </row>
    <row r="9" ht="30.0" customHeight="1">
      <c r="A9" s="3" t="s">
        <v>511</v>
      </c>
      <c r="B9" s="3" t="s">
        <v>512</v>
      </c>
      <c r="C9" s="3" t="s">
        <v>513</v>
      </c>
      <c r="D9" s="3" t="s">
        <v>514</v>
      </c>
      <c r="E9" s="5" t="s">
        <v>515</v>
      </c>
      <c r="F9" s="5" t="s">
        <v>515</v>
      </c>
    </row>
    <row r="10">
      <c r="A10" s="31" t="s">
        <v>516</v>
      </c>
      <c r="B10" s="58">
        <v>-0.05</v>
      </c>
      <c r="C10" s="58">
        <v>-0.1</v>
      </c>
      <c r="D10" s="28">
        <f t="shared" ref="D10:D12" si="1">$B$4*(1+B10)*(1+C10)</f>
        <v>195959.5619</v>
      </c>
      <c r="E10" s="28">
        <f t="shared" ref="E10:E12" si="2">D10-$B$4</f>
        <v>-33232.90815</v>
      </c>
      <c r="F10" s="59">
        <f t="shared" ref="F10:F12" si="3">E10/$B$4</f>
        <v>-0.145</v>
      </c>
    </row>
    <row r="11">
      <c r="A11" s="31" t="s">
        <v>517</v>
      </c>
      <c r="B11" s="58">
        <v>0.0</v>
      </c>
      <c r="C11" s="58">
        <v>0.0</v>
      </c>
      <c r="D11" s="28">
        <f t="shared" si="1"/>
        <v>229192.47</v>
      </c>
      <c r="E11" s="28">
        <f t="shared" si="2"/>
        <v>0</v>
      </c>
      <c r="F11" s="59">
        <f t="shared" si="3"/>
        <v>0</v>
      </c>
    </row>
    <row r="12">
      <c r="A12" s="31" t="s">
        <v>518</v>
      </c>
      <c r="B12" s="58">
        <v>0.05</v>
      </c>
      <c r="C12" s="58">
        <v>0.1</v>
      </c>
      <c r="D12" s="28">
        <f t="shared" si="1"/>
        <v>264717.3029</v>
      </c>
      <c r="E12" s="28">
        <f t="shared" si="2"/>
        <v>35524.83285</v>
      </c>
      <c r="F12" s="59">
        <f t="shared" si="3"/>
        <v>0.155</v>
      </c>
    </row>
    <row r="14">
      <c r="A14" s="24" t="s">
        <v>519</v>
      </c>
      <c r="B14" s="43" t="s">
        <v>518</v>
      </c>
    </row>
    <row r="15">
      <c r="A15" s="11" t="s">
        <v>520</v>
      </c>
      <c r="B15" s="29">
        <f t="array" ref="B15">INDEX(B10:B12,MATCH(B14,A10:A12,0))</f>
        <v>0.05</v>
      </c>
    </row>
    <row r="16">
      <c r="A16" s="11" t="s">
        <v>521</v>
      </c>
      <c r="B16" s="29">
        <f t="array" ref="B16">INDEX(C10:C12,MATCH(B14,A10:A12,0))</f>
        <v>0.1</v>
      </c>
    </row>
    <row r="17">
      <c r="A17" s="31" t="s">
        <v>522</v>
      </c>
      <c r="B17" s="32">
        <f>$B$4*(1+B15)*(1+B16)</f>
        <v>264717.3029</v>
      </c>
    </row>
    <row r="19">
      <c r="A19" s="3" t="s">
        <v>2</v>
      </c>
      <c r="B19" s="3" t="s">
        <v>523</v>
      </c>
      <c r="C19" s="3" t="s">
        <v>524</v>
      </c>
      <c r="D19" s="5" t="s">
        <v>525</v>
      </c>
    </row>
    <row r="20">
      <c r="A20" s="11" t="str">
        <f>Lists!B4</f>
        <v>Appliances</v>
      </c>
      <c r="B20" s="28">
        <f>SUMIFS(tx_Total,tx_Category,A20)</f>
        <v>8338.74</v>
      </c>
      <c r="C20" s="28">
        <f t="shared" ref="C20:C22" si="4">B20*(1+$B$15)*(1+$B$16)</f>
        <v>9631.2447</v>
      </c>
      <c r="D20" s="28">
        <f t="shared" ref="D20:D22" si="5">C20-B20</f>
        <v>1292.5047</v>
      </c>
    </row>
    <row r="21" ht="15.75" customHeight="1">
      <c r="A21" s="11" t="str">
        <f>Lists!B5</f>
        <v>Electronics</v>
      </c>
      <c r="B21" s="28">
        <f>SUMIFS(tx_Total,tx_Category,A21)</f>
        <v>171756.05</v>
      </c>
      <c r="C21" s="28">
        <f t="shared" si="4"/>
        <v>198378.2378</v>
      </c>
      <c r="D21" s="28">
        <f t="shared" si="5"/>
        <v>26622.18775</v>
      </c>
    </row>
    <row r="22" ht="15.75" customHeight="1">
      <c r="A22" s="11" t="str">
        <f>Lists!B6</f>
        <v>Furniture</v>
      </c>
      <c r="B22" s="28">
        <f>SUMIFS(tx_Total,tx_Category,A22)</f>
        <v>49097.68</v>
      </c>
      <c r="C22" s="28">
        <f t="shared" si="4"/>
        <v>56707.8204</v>
      </c>
      <c r="D22" s="28">
        <f t="shared" si="5"/>
        <v>7610.1404</v>
      </c>
    </row>
    <row r="23" ht="15.75" customHeight="1">
      <c r="A23" s="31" t="s">
        <v>454</v>
      </c>
      <c r="B23" s="32">
        <f t="shared" ref="B23:D23" si="6">SUM(B20:B22)</f>
        <v>229192.47</v>
      </c>
      <c r="C23" s="32">
        <f t="shared" si="6"/>
        <v>264717.3029</v>
      </c>
      <c r="D23" s="32">
        <f t="shared" si="6"/>
        <v>35524.83285</v>
      </c>
    </row>
    <row r="24" ht="15.75" customHeight="1"/>
    <row r="25" ht="15.75" customHeight="1"/>
    <row r="26" ht="15.75" customHeight="1">
      <c r="A26" s="6" t="s">
        <v>526</v>
      </c>
    </row>
    <row r="27" ht="15.75" customHeight="1">
      <c r="A27" s="11" t="s">
        <v>527</v>
      </c>
      <c r="B27" s="46">
        <v>250000.0</v>
      </c>
      <c r="C27" s="23"/>
    </row>
    <row r="28" ht="15.75" customHeight="1">
      <c r="A28" s="11" t="s">
        <v>528</v>
      </c>
      <c r="B28" s="58">
        <v>0.0</v>
      </c>
    </row>
    <row r="29" ht="15.75" customHeight="1">
      <c r="A29" s="60" t="s">
        <v>512</v>
      </c>
      <c r="B29" s="61">
        <v>0.0</v>
      </c>
    </row>
    <row r="30" ht="15.75" customHeight="1">
      <c r="A30" s="60" t="s">
        <v>529</v>
      </c>
      <c r="B30" s="32">
        <f>$B$4*(1+B29)*(1+B28)</f>
        <v>229192.47</v>
      </c>
    </row>
    <row r="31" ht="15.75" customHeight="1">
      <c r="A31" s="11" t="s">
        <v>530</v>
      </c>
      <c r="B31" s="28">
        <f>B27-B30</f>
        <v>20807.53</v>
      </c>
    </row>
    <row r="32" ht="15.75" customHeight="1">
      <c r="A32" s="60" t="s">
        <v>531</v>
      </c>
      <c r="B32" s="62">
        <f>B27/($B$4*(1+B28))-1</f>
        <v>0.09078627234</v>
      </c>
      <c r="C32" s="23"/>
    </row>
    <row r="33" ht="15.75" customHeight="1">
      <c r="A33" s="11" t="s">
        <v>532</v>
      </c>
      <c r="B33" s="28">
        <f>$B$4*(1+B32)*(1+B28)</f>
        <v>250000</v>
      </c>
    </row>
    <row r="34" ht="15.75" customHeight="1">
      <c r="A34" s="11" t="s">
        <v>533</v>
      </c>
      <c r="B34" s="26">
        <f>ROUND(B33-B27,2)</f>
        <v>0</v>
      </c>
    </row>
    <row r="35" ht="15.75" customHeight="1">
      <c r="A35" s="11" t="s">
        <v>534</v>
      </c>
      <c r="B35" s="18">
        <f>B27/B6</f>
        <v>821.3620631</v>
      </c>
    </row>
    <row r="36" ht="15.75" customHeight="1">
      <c r="A36" s="11" t="s">
        <v>535</v>
      </c>
      <c r="B36" s="18">
        <f>B35-B5</f>
        <v>68.36206307</v>
      </c>
    </row>
    <row r="37" ht="15.75" customHeight="1">
      <c r="A37" s="23"/>
    </row>
    <row r="38" ht="15.75" customHeight="1"/>
    <row r="39" ht="15.75" customHeight="1"/>
    <row r="40" ht="15.75" customHeight="1">
      <c r="A40" s="6" t="s">
        <v>522</v>
      </c>
    </row>
    <row r="41" ht="15.75" customHeight="1">
      <c r="A41" s="23"/>
      <c r="B41" s="63" t="s">
        <v>521</v>
      </c>
    </row>
    <row r="42" ht="15.75" customHeight="1">
      <c r="B42" s="25">
        <v>-0.1</v>
      </c>
      <c r="C42" s="25">
        <v>-0.05</v>
      </c>
      <c r="D42" s="25">
        <v>0.0</v>
      </c>
      <c r="E42" s="25">
        <v>0.05</v>
      </c>
      <c r="F42" s="25">
        <v>0.1</v>
      </c>
    </row>
    <row r="43" ht="15.75" customHeight="1">
      <c r="A43" s="25">
        <v>-0.1</v>
      </c>
      <c r="B43" s="28">
        <f t="shared" ref="B43:F43" si="7">$B$4*(1+$A43)*(1+B$42)</f>
        <v>185645.9007</v>
      </c>
      <c r="C43" s="28">
        <f t="shared" si="7"/>
        <v>195959.5619</v>
      </c>
      <c r="D43" s="28">
        <f t="shared" si="7"/>
        <v>206273.223</v>
      </c>
      <c r="E43" s="28">
        <f t="shared" si="7"/>
        <v>216586.8842</v>
      </c>
      <c r="F43" s="28">
        <f t="shared" si="7"/>
        <v>226900.5453</v>
      </c>
      <c r="G43" s="64" t="s">
        <v>536</v>
      </c>
    </row>
    <row r="44" ht="15.75" customHeight="1">
      <c r="A44" s="25">
        <v>-0.05</v>
      </c>
      <c r="B44" s="28">
        <f t="shared" ref="B44:F44" si="8">$B$4*(1+$A44)*(1+B$42)</f>
        <v>195959.5619</v>
      </c>
      <c r="C44" s="28">
        <f t="shared" si="8"/>
        <v>206846.2042</v>
      </c>
      <c r="D44" s="28">
        <f t="shared" si="8"/>
        <v>217732.8465</v>
      </c>
      <c r="E44" s="28">
        <f t="shared" si="8"/>
        <v>228619.4888</v>
      </c>
      <c r="F44" s="28">
        <f t="shared" si="8"/>
        <v>239506.1312</v>
      </c>
    </row>
    <row r="45" ht="15.75" customHeight="1">
      <c r="A45" s="25">
        <v>0.0</v>
      </c>
      <c r="B45" s="28">
        <f t="shared" ref="B45:F45" si="9">$B$4*(1+$A45)*(1+B$42)</f>
        <v>206273.223</v>
      </c>
      <c r="C45" s="28">
        <f t="shared" si="9"/>
        <v>217732.8465</v>
      </c>
      <c r="D45" s="28">
        <f t="shared" si="9"/>
        <v>229192.47</v>
      </c>
      <c r="E45" s="28">
        <f t="shared" si="9"/>
        <v>240652.0935</v>
      </c>
      <c r="F45" s="28">
        <f t="shared" si="9"/>
        <v>252111.717</v>
      </c>
    </row>
    <row r="46" ht="15.75" customHeight="1">
      <c r="A46" s="25">
        <v>0.05</v>
      </c>
      <c r="B46" s="28">
        <f t="shared" ref="B46:F46" si="10">$B$4*(1+$A46)*(1+B$42)</f>
        <v>216586.8842</v>
      </c>
      <c r="C46" s="28">
        <f t="shared" si="10"/>
        <v>228619.4888</v>
      </c>
      <c r="D46" s="28">
        <f t="shared" si="10"/>
        <v>240652.0935</v>
      </c>
      <c r="E46" s="28">
        <f t="shared" si="10"/>
        <v>252684.6982</v>
      </c>
      <c r="F46" s="28">
        <f t="shared" si="10"/>
        <v>264717.3029</v>
      </c>
    </row>
    <row r="47" ht="15.75" customHeight="1">
      <c r="A47" s="25">
        <v>0.1</v>
      </c>
      <c r="B47" s="28">
        <f t="shared" ref="B47:F47" si="11">$B$4*(1+$A47)*(1+B$42)</f>
        <v>226900.5453</v>
      </c>
      <c r="C47" s="28">
        <f t="shared" si="11"/>
        <v>239506.1312</v>
      </c>
      <c r="D47" s="28">
        <f t="shared" si="11"/>
        <v>252111.717</v>
      </c>
      <c r="E47" s="28">
        <f t="shared" si="11"/>
        <v>264717.3029</v>
      </c>
      <c r="F47" s="28">
        <f t="shared" si="11"/>
        <v>277322.8887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G43:G47"/>
  </mergeCells>
  <conditionalFormatting sqref="B43:F4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>
    <dataValidation type="list" allowBlank="1" sqref="B14">
      <formula1>"Pessimistic,Base,Optimistic"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11.0"/>
    <col customWidth="1" min="3" max="3" width="14.0"/>
    <col customWidth="1" min="4" max="4" width="3.0"/>
    <col customWidth="1" min="5" max="5" width="26.0"/>
    <col customWidth="1" min="6" max="7" width="16.0"/>
    <col customWidth="1" min="8" max="8" width="14.0"/>
    <col customWidth="1" min="9" max="9" width="12.0"/>
    <col customWidth="1" min="10" max="11" width="14.0"/>
    <col customWidth="1" min="12" max="26" width="8.71"/>
  </cols>
  <sheetData>
    <row r="1">
      <c r="A1" s="1"/>
    </row>
    <row r="2">
      <c r="A2" s="23"/>
    </row>
    <row r="4">
      <c r="A4" s="3"/>
      <c r="B4" s="3" t="s">
        <v>538</v>
      </c>
      <c r="C4" s="5" t="s">
        <v>317</v>
      </c>
      <c r="E4" s="3" t="s">
        <v>539</v>
      </c>
      <c r="F4" s="3" t="s">
        <v>540</v>
      </c>
    </row>
    <row r="5">
      <c r="A5" s="17">
        <f t="shared" ref="A5:A15" si="1">ROWS($A$5:A5)</f>
        <v>1</v>
      </c>
      <c r="B5" s="65">
        <f>Pivot_Summaries!J6</f>
        <v>45413</v>
      </c>
      <c r="C5" s="28">
        <f>Pivot_Summaries!L6</f>
        <v>17039.35</v>
      </c>
      <c r="E5" s="11" t="s">
        <v>541</v>
      </c>
      <c r="F5" s="66">
        <f>SQRT(F6)</f>
        <v>0.2764911669</v>
      </c>
    </row>
    <row r="6">
      <c r="A6" s="17">
        <f t="shared" si="1"/>
        <v>2</v>
      </c>
      <c r="B6" s="65">
        <f>Pivot_Summaries!J7</f>
        <v>45444</v>
      </c>
      <c r="C6" s="28">
        <f>Pivot_Summaries!L7</f>
        <v>19299.45</v>
      </c>
      <c r="E6" s="11" t="s">
        <v>542</v>
      </c>
      <c r="F6" s="66">
        <f>RSQ($C$5:$C$15,$A$5:$A$15)</f>
        <v>0.07644736536</v>
      </c>
    </row>
    <row r="7">
      <c r="A7" s="17">
        <f t="shared" si="1"/>
        <v>3</v>
      </c>
      <c r="B7" s="65">
        <f>Pivot_Summaries!J8</f>
        <v>45474</v>
      </c>
      <c r="C7" s="28">
        <f>Pivot_Summaries!L8</f>
        <v>18479.4</v>
      </c>
      <c r="E7" s="11" t="s">
        <v>543</v>
      </c>
      <c r="F7" s="66">
        <f>1-(1-F6)*(F9-1)/(F9-2)</f>
        <v>-0.02616959404</v>
      </c>
    </row>
    <row r="8">
      <c r="A8" s="17">
        <f t="shared" si="1"/>
        <v>4</v>
      </c>
      <c r="B8" s="65">
        <f>Pivot_Summaries!J9</f>
        <v>45505</v>
      </c>
      <c r="C8" s="28">
        <f>Pivot_Summaries!L9</f>
        <v>15759.43</v>
      </c>
      <c r="E8" s="11" t="s">
        <v>544</v>
      </c>
      <c r="F8" s="28">
        <f>STEYX($C$5:$C$15,$A$5:$A$15)</f>
        <v>4111.442464</v>
      </c>
    </row>
    <row r="9">
      <c r="A9" s="17">
        <f t="shared" si="1"/>
        <v>5</v>
      </c>
      <c r="B9" s="65">
        <f>Pivot_Summaries!J10</f>
        <v>45536</v>
      </c>
      <c r="C9" s="28">
        <f>Pivot_Summaries!L10</f>
        <v>12989.51</v>
      </c>
      <c r="E9" s="11" t="s">
        <v>546</v>
      </c>
      <c r="F9" s="56">
        <f>COUNT($C$5:$C$15)</f>
        <v>11</v>
      </c>
    </row>
    <row r="10">
      <c r="A10" s="17">
        <f t="shared" si="1"/>
        <v>6</v>
      </c>
      <c r="B10" s="65">
        <f>Pivot_Summaries!J11</f>
        <v>45566</v>
      </c>
      <c r="C10" s="28">
        <f>Pivot_Summaries!L11</f>
        <v>20609.52</v>
      </c>
    </row>
    <row r="11">
      <c r="A11" s="17">
        <f t="shared" si="1"/>
        <v>7</v>
      </c>
      <c r="B11" s="65">
        <f>Pivot_Summaries!J12</f>
        <v>45597</v>
      </c>
      <c r="C11" s="28">
        <f>Pivot_Summaries!L12</f>
        <v>12309.44</v>
      </c>
      <c r="E11" s="3" t="s">
        <v>547</v>
      </c>
      <c r="F11" s="3" t="s">
        <v>548</v>
      </c>
      <c r="G11" s="3" t="s">
        <v>549</v>
      </c>
      <c r="H11" s="3" t="s">
        <v>550</v>
      </c>
      <c r="I11" s="3" t="s">
        <v>551</v>
      </c>
      <c r="J11" s="3" t="s">
        <v>552</v>
      </c>
    </row>
    <row r="12">
      <c r="A12" s="17">
        <f t="shared" si="1"/>
        <v>8</v>
      </c>
      <c r="B12" s="65">
        <f>Pivot_Summaries!J13</f>
        <v>45627</v>
      </c>
      <c r="C12" s="28">
        <f>Pivot_Summaries!L13</f>
        <v>23039.3</v>
      </c>
      <c r="E12" s="11" t="s">
        <v>554</v>
      </c>
      <c r="F12" s="56">
        <v>1.0</v>
      </c>
      <c r="G12" s="18">
        <f t="array" ref="G12">INDEX(LINEST($C$5:$C$15,$A$5:$A$15,TRUE(),TRUE()),5,1)</f>
        <v>12593075.72</v>
      </c>
      <c r="H12" s="18">
        <f t="shared" ref="H12:H13" si="2">G12/F12</f>
        <v>12593075.72</v>
      </c>
      <c r="I12" s="67">
        <f>H12/H13</f>
        <v>0.7449778848</v>
      </c>
      <c r="J12" s="66">
        <f>FDIST(I12,F12,F13)</f>
        <v>0.410481347</v>
      </c>
    </row>
    <row r="13">
      <c r="A13" s="17">
        <f t="shared" si="1"/>
        <v>9</v>
      </c>
      <c r="B13" s="65">
        <f>Pivot_Summaries!J14</f>
        <v>45658</v>
      </c>
      <c r="C13" s="28">
        <f>Pivot_Summaries!L14</f>
        <v>25799.15</v>
      </c>
      <c r="E13" s="11" t="s">
        <v>557</v>
      </c>
      <c r="F13" s="56">
        <f>F9-2</f>
        <v>9</v>
      </c>
      <c r="G13" s="18">
        <f t="array" ref="G13">INDEX(LINEST($C$5:$C$15,$A$5:$A$15,TRUE(),TRUE()),5,2)</f>
        <v>152135632.2</v>
      </c>
      <c r="H13" s="18">
        <f t="shared" si="2"/>
        <v>16903959.13</v>
      </c>
    </row>
    <row r="14">
      <c r="A14" s="17">
        <f t="shared" si="1"/>
        <v>10</v>
      </c>
      <c r="B14" s="65">
        <f>Pivot_Summaries!J15</f>
        <v>45689</v>
      </c>
      <c r="C14" s="28">
        <f>Pivot_Summaries!L15</f>
        <v>16069.38</v>
      </c>
      <c r="E14" s="11" t="s">
        <v>454</v>
      </c>
      <c r="F14" s="56">
        <f>F9-1</f>
        <v>10</v>
      </c>
      <c r="G14" s="18">
        <f>G12+G13</f>
        <v>164728707.9</v>
      </c>
    </row>
    <row r="15">
      <c r="A15" s="17">
        <f t="shared" si="1"/>
        <v>11</v>
      </c>
      <c r="B15" s="65">
        <f>Pivot_Summaries!J16</f>
        <v>45717</v>
      </c>
      <c r="C15" s="28">
        <f>Pivot_Summaries!L16</f>
        <v>19899.38</v>
      </c>
    </row>
    <row r="16">
      <c r="E16" s="3"/>
      <c r="F16" s="3" t="s">
        <v>558</v>
      </c>
      <c r="G16" s="3" t="s">
        <v>544</v>
      </c>
      <c r="H16" s="3" t="s">
        <v>559</v>
      </c>
      <c r="I16" s="3" t="s">
        <v>560</v>
      </c>
      <c r="J16" s="3" t="s">
        <v>561</v>
      </c>
      <c r="K16" s="3" t="s">
        <v>562</v>
      </c>
    </row>
    <row r="17">
      <c r="E17" s="11" t="s">
        <v>563</v>
      </c>
      <c r="F17" s="68">
        <f t="array" ref="F17">INDEX(LINEST($C$5:$C$15,$A$5:$A$15,TRUE(),TRUE()),1,2)</f>
        <v>16269.276</v>
      </c>
      <c r="G17" s="68">
        <f t="array" ref="G17">INDEX(LINEST($C$5:$C$15,$A$5:$A$15,TRUE(),TRUE()),2,2)</f>
        <v>2658.745637</v>
      </c>
      <c r="H17" s="67">
        <f t="shared" ref="H17:H18" si="3">F17/G17</f>
        <v>6.119154752</v>
      </c>
      <c r="I17" s="66">
        <f t="shared" ref="I17:I18" si="4">TDIST(ABS(H17),$F$13,2)</f>
        <v>0.0001751308073</v>
      </c>
      <c r="J17" s="68">
        <f t="shared" ref="J17:J18" si="5">F17-TINV(0.05,$F$13)*G17</f>
        <v>10254.77551</v>
      </c>
      <c r="K17" s="68">
        <f t="shared" ref="K17:K18" si="6">F17+TINV(0.05,$F$13)*G17</f>
        <v>22283.77649</v>
      </c>
    </row>
    <row r="18">
      <c r="E18" s="11" t="s">
        <v>564</v>
      </c>
      <c r="F18" s="68">
        <f t="array" ref="F18">INDEX(LINEST($C$5:$C$15,$A$5:$A$15,TRUE(),TRUE()),1,1)</f>
        <v>338.3526364</v>
      </c>
      <c r="G18" s="68">
        <f t="array" ref="G18">INDEX(LINEST($C$5:$C$15,$A$5:$A$15,TRUE(),TRUE()),2,1)</f>
        <v>392.0106577</v>
      </c>
      <c r="H18" s="67">
        <f t="shared" si="3"/>
        <v>0.863121014</v>
      </c>
      <c r="I18" s="66">
        <f t="shared" si="4"/>
        <v>0.410481347</v>
      </c>
      <c r="J18" s="68">
        <f t="shared" si="5"/>
        <v>-548.4370808</v>
      </c>
      <c r="K18" s="68">
        <f t="shared" si="6"/>
        <v>1225.142354</v>
      </c>
    </row>
    <row r="20">
      <c r="E20" s="11" t="s">
        <v>565</v>
      </c>
      <c r="F20" s="68">
        <f>SLOPE($C$5:$C$15,$A$5:$A$15)</f>
        <v>338.3526364</v>
      </c>
    </row>
    <row r="21" ht="15.75" customHeight="1">
      <c r="E21" s="11" t="s">
        <v>566</v>
      </c>
      <c r="F21" s="68">
        <f>INTERCEPT($C$5:$C$15,$A$5:$A$15)</f>
        <v>16269.276</v>
      </c>
    </row>
    <row r="22" ht="15.75" customHeight="1"/>
    <row r="23" ht="15.75" customHeight="1">
      <c r="E23" s="44"/>
    </row>
    <row r="24" ht="15.75" customHeight="1"/>
    <row r="25" ht="15.75" customHeight="1"/>
    <row r="26" ht="15.75" customHeight="1">
      <c r="E26" s="3" t="s">
        <v>567</v>
      </c>
      <c r="F26" s="3" t="s">
        <v>538</v>
      </c>
      <c r="G26" s="3" t="s">
        <v>568</v>
      </c>
    </row>
    <row r="27" ht="15.75" customHeight="1">
      <c r="E27" s="17">
        <f>$F$9+1</f>
        <v>12</v>
      </c>
      <c r="F27" s="65">
        <f>EDATE($B$15,1)</f>
        <v>45748</v>
      </c>
      <c r="G27" s="28">
        <f t="shared" ref="G27:G29" si="7">$F$17+$F$18*E27</f>
        <v>20329.50764</v>
      </c>
    </row>
    <row r="28" ht="15.75" customHeight="1">
      <c r="E28" s="17">
        <f>$F$9+2</f>
        <v>13</v>
      </c>
      <c r="F28" s="65">
        <f>EDATE($B$15,2)</f>
        <v>45778</v>
      </c>
      <c r="G28" s="28">
        <f t="shared" si="7"/>
        <v>20667.86027</v>
      </c>
    </row>
    <row r="29" ht="15.75" customHeight="1">
      <c r="E29" s="17">
        <f>$F$9+3</f>
        <v>14</v>
      </c>
      <c r="F29" s="65">
        <f>EDATE($B$15,3)</f>
        <v>45809</v>
      </c>
      <c r="G29" s="28">
        <f t="shared" si="7"/>
        <v>21006.21291</v>
      </c>
    </row>
    <row r="30" ht="15.75" customHeight="1">
      <c r="E30" s="2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>
      <c r="A1" s="1"/>
    </row>
    <row r="2">
      <c r="A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16.0"/>
    <col customWidth="1" min="4" max="4" width="14.0"/>
    <col customWidth="1" min="5" max="5" width="16.0"/>
    <col customWidth="1" min="6" max="7" width="13.0"/>
    <col customWidth="1" min="8" max="8" width="16.0"/>
    <col customWidth="1" min="9" max="9" width="14.0"/>
    <col customWidth="1" min="10" max="11" width="12.0"/>
    <col customWidth="1" min="12" max="12" width="16.0"/>
    <col customWidth="1" min="13" max="13" width="14.0"/>
    <col customWidth="1" min="14" max="15" width="3.0"/>
    <col customWidth="1" min="16" max="16" width="11.0"/>
    <col customWidth="1" min="17" max="17" width="14.0"/>
    <col customWidth="1" min="18" max="18" width="3.0"/>
    <col customWidth="1" min="19" max="20" width="14.0"/>
    <col customWidth="1" min="21" max="21" width="3.0"/>
    <col customWidth="1" min="22" max="22" width="12.0"/>
    <col customWidth="1" min="23" max="23" width="20.0"/>
    <col customWidth="1" min="24" max="24" width="13.0"/>
    <col customWidth="1" min="25" max="25" width="7.0"/>
    <col customWidth="1" min="26" max="26" width="8.71"/>
  </cols>
  <sheetData>
    <row r="1" ht="30.0" customHeight="1">
      <c r="B1" s="70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</row>
    <row r="2">
      <c r="B2" s="72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P2" s="23"/>
    </row>
    <row r="3">
      <c r="P3" s="3" t="s">
        <v>538</v>
      </c>
      <c r="Q3" s="3" t="s">
        <v>317</v>
      </c>
      <c r="S3" s="3" t="s">
        <v>443</v>
      </c>
      <c r="T3" s="3" t="s">
        <v>317</v>
      </c>
      <c r="V3" s="3" t="s">
        <v>7</v>
      </c>
      <c r="W3" s="3" t="s">
        <v>579</v>
      </c>
      <c r="X3" s="3" t="s">
        <v>317</v>
      </c>
      <c r="Y3" s="3" t="s">
        <v>320</v>
      </c>
    </row>
    <row r="4">
      <c r="B4" s="73" t="s">
        <v>580</v>
      </c>
      <c r="C4" s="43" t="s">
        <v>38</v>
      </c>
      <c r="E4" s="73" t="s">
        <v>581</v>
      </c>
      <c r="F4" s="43" t="s">
        <v>38</v>
      </c>
      <c r="H4" s="23"/>
      <c r="P4" s="74" t="str">
        <f>Pivot_Summaries!Q5</f>
        <v>Apr-24</v>
      </c>
      <c r="Q4" s="75">
        <f>SUMIFS(tx_Total,tx_Date,"&gt;="&amp;Pivot_Summaries!J5,tx_Date,"&lt;="&amp;Pivot_Summaries!K5,tx_Region,$L$5,tx_Category,$M$5)</f>
        <v>20919.33</v>
      </c>
      <c r="S4" s="74" t="str">
        <f>Lists!D4</f>
        <v>Laptop</v>
      </c>
      <c r="T4" s="75">
        <f>SUMIFS(tx_Total,tx_Product,S4,tx_Region,$L$5,tx_Category,$M$5)</f>
        <v>67499.25</v>
      </c>
      <c r="V4" s="74" t="str">
        <f>Lists!G4</f>
        <v>CUST001</v>
      </c>
      <c r="W4" s="74" t="str">
        <f>Lists!H4</f>
        <v>John Smith</v>
      </c>
      <c r="X4" s="75">
        <f>SUMIFS(tx_Total,tx_CustID,V4,tx_Region,$L$5,tx_Category,$M$5)</f>
        <v>599.96</v>
      </c>
      <c r="Y4" s="53">
        <f t="shared" ref="Y4:Y53" si="1">RANK(X4,$X$4:$X$53,0)+COUNTIF($X$4:X4,X4)-1</f>
        <v>47</v>
      </c>
    </row>
    <row r="5">
      <c r="K5" s="76" t="s">
        <v>582</v>
      </c>
      <c r="L5" s="77" t="str">
        <f>IF(C4="All","*",C4)</f>
        <v>*</v>
      </c>
      <c r="M5" s="77" t="str">
        <f>IF(F4="All","*",F4)</f>
        <v>*</v>
      </c>
      <c r="P5" s="74" t="str">
        <f>Pivot_Summaries!Q6</f>
        <v>May-24</v>
      </c>
      <c r="Q5" s="75">
        <f>SUMIFS(tx_Total,tx_Date,"&gt;="&amp;Pivot_Summaries!J6,tx_Date,"&lt;="&amp;Pivot_Summaries!K6,tx_Region,$L$5,tx_Category,$M$5)</f>
        <v>17039.35</v>
      </c>
      <c r="S5" s="74" t="str">
        <f>Lists!D5</f>
        <v>Smartphone</v>
      </c>
      <c r="T5" s="75">
        <f>SUMIFS(tx_Total,tx_Product,S5,tx_Region,$L$5,tx_Category,$M$5)</f>
        <v>67199.04</v>
      </c>
      <c r="V5" s="74" t="str">
        <f>Lists!G5</f>
        <v>CUST002</v>
      </c>
      <c r="W5" s="74" t="str">
        <f>Lists!H5</f>
        <v>Emma Wilson</v>
      </c>
      <c r="X5" s="75">
        <f>SUMIFS(tx_Total,tx_CustID,V5,tx_Region,$L$5,tx_Category,$M$5)</f>
        <v>1229.88</v>
      </c>
      <c r="Y5" s="53">
        <f t="shared" si="1"/>
        <v>44</v>
      </c>
    </row>
    <row r="6">
      <c r="P6" s="74" t="str">
        <f>Pivot_Summaries!Q7</f>
        <v>Jun-24</v>
      </c>
      <c r="Q6" s="75">
        <f>SUMIFS(tx_Total,tx_Date,"&gt;="&amp;Pivot_Summaries!J7,tx_Date,"&lt;="&amp;Pivot_Summaries!K7,tx_Region,$L$5,tx_Category,$M$5)</f>
        <v>19299.45</v>
      </c>
      <c r="S6" s="74" t="str">
        <f>Lists!D6</f>
        <v>Headphones</v>
      </c>
      <c r="T6" s="75">
        <f>SUMIFS(tx_Total,tx_Product,S6,tx_Region,$L$5,tx_Category,$M$5)</f>
        <v>7049.53</v>
      </c>
      <c r="V6" s="74" t="str">
        <f>Lists!G6</f>
        <v>CUST003</v>
      </c>
      <c r="W6" s="74" t="str">
        <f>Lists!H6</f>
        <v>Michael Brown</v>
      </c>
      <c r="X6" s="75">
        <f>SUMIFS(tx_Total,tx_CustID,V6,tx_Region,$L$5,tx_Category,$M$5)</f>
        <v>6169.74</v>
      </c>
      <c r="Y6" s="53">
        <f t="shared" si="1"/>
        <v>14</v>
      </c>
    </row>
    <row r="7">
      <c r="B7" s="78" t="s">
        <v>583</v>
      </c>
      <c r="C7" s="79"/>
      <c r="D7" s="78" t="s">
        <v>584</v>
      </c>
      <c r="E7" s="79"/>
      <c r="F7" s="78" t="s">
        <v>585</v>
      </c>
      <c r="G7" s="79"/>
      <c r="H7" s="78" t="s">
        <v>586</v>
      </c>
      <c r="I7" s="79"/>
      <c r="J7" s="78" t="s">
        <v>587</v>
      </c>
      <c r="K7" s="79"/>
      <c r="L7" s="78" t="s">
        <v>588</v>
      </c>
      <c r="M7" s="79"/>
      <c r="P7" s="74" t="str">
        <f>Pivot_Summaries!Q8</f>
        <v>Jul-24</v>
      </c>
      <c r="Q7" s="75">
        <f>SUMIFS(tx_Total,tx_Date,"&gt;="&amp;Pivot_Summaries!J8,tx_Date,"&lt;="&amp;Pivot_Summaries!K8,tx_Region,$L$5,tx_Category,$M$5)</f>
        <v>18479.4</v>
      </c>
      <c r="S7" s="74" t="str">
        <f>Lists!D7</f>
        <v>Coffee Maker</v>
      </c>
      <c r="T7" s="75">
        <f>SUMIFS(tx_Total,tx_Product,S7,tx_Region,$L$5,tx_Category,$M$5)</f>
        <v>3119.61</v>
      </c>
      <c r="V7" s="74" t="str">
        <f>Lists!G7</f>
        <v>CUST004</v>
      </c>
      <c r="W7" s="74" t="str">
        <f>Lists!H7</f>
        <v>Sarah Davis</v>
      </c>
      <c r="X7" s="75">
        <f>SUMIFS(tx_Total,tx_CustID,V7,tx_Region,$L$5,tx_Category,$M$5)</f>
        <v>5499.81</v>
      </c>
      <c r="Y7" s="53">
        <f t="shared" si="1"/>
        <v>19</v>
      </c>
    </row>
    <row r="8" ht="33.75" customHeight="1">
      <c r="B8" s="80">
        <f>SUMIFS(tx_Total,tx_Region,$L$5,tx_Category,$M$5)</f>
        <v>229192.47</v>
      </c>
      <c r="C8" s="79"/>
      <c r="D8" s="81">
        <f>COUNTIFS(tx_Region,$L$5,tx_Category,$M$5)</f>
        <v>250</v>
      </c>
      <c r="E8" s="79"/>
      <c r="F8" s="81">
        <f>SUMIFS(tx_Qty,tx_Region,$L$5,tx_Category,$M$5)</f>
        <v>753</v>
      </c>
      <c r="G8" s="79"/>
      <c r="H8" s="80">
        <f>IF(D8=0,0,B8/D8)</f>
        <v>916.76988</v>
      </c>
      <c r="I8" s="79"/>
      <c r="J8" s="82">
        <f>IFERROR(SUMIFS(tx_Total,tx_Date,"&gt;="&amp;Pivot_Summaries!$J$16,tx_Date,"&lt;="&amp;Pivot_Summaries!$K$16,tx_Region,$L$5,tx_Category,$M$5)/SUMIFS(tx_Total,tx_Date,"&gt;="&amp;Pivot_Summaries!$J$15,tx_Date,"&lt;="&amp;Pivot_Summaries!$K$15,tx_Region,$L$5,tx_Category,$M$5)-1,0)</f>
        <v>0.2383414917</v>
      </c>
      <c r="K8" s="79"/>
      <c r="L8" s="83" t="str">
        <f t="array" ref="L8">INDEX($S$4:$S$13,MATCH(MAX($T$4:$T$13),$T$4:$T$13,0))</f>
        <v>Laptop</v>
      </c>
      <c r="M8" s="79"/>
      <c r="P8" s="74" t="str">
        <f>Pivot_Summaries!Q9</f>
        <v>Aug-24</v>
      </c>
      <c r="Q8" s="75">
        <f>SUMIFS(tx_Total,tx_Date,"&gt;="&amp;Pivot_Summaries!J9,tx_Date,"&lt;="&amp;Pivot_Summaries!K9,tx_Region,$L$5,tx_Category,$M$5)</f>
        <v>15759.43</v>
      </c>
      <c r="S8" s="74" t="str">
        <f>Lists!D8</f>
        <v>Blender</v>
      </c>
      <c r="T8" s="75">
        <f>SUMIFS(tx_Total,tx_Product,S8,tx_Region,$L$5,tx_Category,$M$5)</f>
        <v>5219.13</v>
      </c>
      <c r="V8" s="74" t="str">
        <f>Lists!G8</f>
        <v>CUST005</v>
      </c>
      <c r="W8" s="74" t="str">
        <f>Lists!H8</f>
        <v>James Johnson</v>
      </c>
      <c r="X8" s="75">
        <f>SUMIFS(tx_Total,tx_CustID,V8,tx_Region,$L$5,tx_Category,$M$5)</f>
        <v>179.97</v>
      </c>
      <c r="Y8" s="53">
        <f t="shared" si="1"/>
        <v>50</v>
      </c>
    </row>
    <row r="9">
      <c r="B9" s="84" t="str">
        <f>TEXT(B8/SUM(tx_Total),"0.0%")&amp;" of total revenue"</f>
        <v>100.0% of total revenue</v>
      </c>
      <c r="C9" s="79"/>
      <c r="D9" s="84" t="str">
        <f>TEXT(D8/COUNTA(tx_ID),"0.0%")&amp;" of all transactions"</f>
        <v>100.0% of all transactions</v>
      </c>
      <c r="E9" s="79"/>
      <c r="F9" s="84" t="str">
        <f>"avg "&amp;TEXT(IF(D8=0,0,F8/D8),"0.0")&amp;" units per order"</f>
        <v>avg 3.0 units per order</v>
      </c>
      <c r="G9" s="79"/>
      <c r="H9" s="84" t="str">
        <f>"overall: "&amp;TEXT(SUM(tx_Total)/COUNTA(tx_ID),"$#,##0")</f>
        <v>overall: $917</v>
      </c>
      <c r="I9" s="79"/>
      <c r="J9" s="84" t="str">
        <f>TEXT(Pivot_Summaries!$J$16,"mmm-yy")&amp;" vs "&amp;TEXT(Pivot_Summaries!$J$15,"mmm-yy")</f>
        <v>Mar-25 vs Feb-25</v>
      </c>
      <c r="K9" s="79"/>
      <c r="L9" s="84" t="str">
        <f>"revenue "&amp;TEXT(MAX($T$4:$T$13),"$#,##0")</f>
        <v>revenue $67,499</v>
      </c>
      <c r="M9" s="79"/>
      <c r="P9" s="74" t="str">
        <f>Pivot_Summaries!Q10</f>
        <v>Sep-24</v>
      </c>
      <c r="Q9" s="75">
        <f>SUMIFS(tx_Total,tx_Date,"&gt;="&amp;Pivot_Summaries!J10,tx_Date,"&lt;="&amp;Pivot_Summaries!K10,tx_Region,$L$5,tx_Category,$M$5)</f>
        <v>12989.51</v>
      </c>
      <c r="S9" s="74" t="str">
        <f>Lists!D9</f>
        <v>Office Chair</v>
      </c>
      <c r="T9" s="75">
        <f>SUMIFS(tx_Total,tx_Product,S9,tx_Region,$L$5,tx_Category,$M$5)</f>
        <v>10399.48</v>
      </c>
      <c r="V9" s="74" t="str">
        <f>Lists!G9</f>
        <v>CUST006</v>
      </c>
      <c r="W9" s="74" t="str">
        <f>Lists!H9</f>
        <v>Lisa Anderson</v>
      </c>
      <c r="X9" s="75">
        <f>SUMIFS(tx_Total,tx_CustID,V9,tx_Region,$L$5,tx_Category,$M$5)</f>
        <v>2039.8</v>
      </c>
      <c r="Y9" s="53">
        <f t="shared" si="1"/>
        <v>36</v>
      </c>
    </row>
    <row r="10">
      <c r="P10" s="74" t="str">
        <f>Pivot_Summaries!Q11</f>
        <v>Oct-24</v>
      </c>
      <c r="Q10" s="75">
        <f>SUMIFS(tx_Total,tx_Date,"&gt;="&amp;Pivot_Summaries!J11,tx_Date,"&lt;="&amp;Pivot_Summaries!K11,tx_Region,$L$5,tx_Category,$M$5)</f>
        <v>20609.52</v>
      </c>
      <c r="S10" s="74" t="str">
        <f>Lists!D10</f>
        <v>Desk</v>
      </c>
      <c r="T10" s="75">
        <f>SUMIFS(tx_Total,tx_Product,S10,tx_Region,$L$5,tx_Category,$M$5)</f>
        <v>23399.22</v>
      </c>
      <c r="V10" s="74" t="str">
        <f>Lists!G10</f>
        <v>CUST007</v>
      </c>
      <c r="W10" s="74" t="str">
        <f>Lists!H10</f>
        <v>David Martinez</v>
      </c>
      <c r="X10" s="75">
        <f>SUMIFS(tx_Total,tx_CustID,V10,tx_Region,$L$5,tx_Category,$M$5)</f>
        <v>1809.84</v>
      </c>
      <c r="Y10" s="53">
        <f t="shared" si="1"/>
        <v>39</v>
      </c>
    </row>
    <row r="11">
      <c r="B11" s="6" t="s">
        <v>589</v>
      </c>
      <c r="H11" s="6" t="s">
        <v>590</v>
      </c>
      <c r="P11" s="74" t="str">
        <f>Pivot_Summaries!Q12</f>
        <v>Nov-24</v>
      </c>
      <c r="Q11" s="75">
        <f>SUMIFS(tx_Total,tx_Date,"&gt;="&amp;Pivot_Summaries!J12,tx_Date,"&lt;="&amp;Pivot_Summaries!K12,tx_Region,$L$5,tx_Category,$M$5)</f>
        <v>12309.44</v>
      </c>
      <c r="S11" s="74" t="str">
        <f>Lists!D11</f>
        <v>Bookshelf</v>
      </c>
      <c r="T11" s="75">
        <f>SUMIFS(tx_Total,tx_Product,S11,tx_Region,$L$5,tx_Category,$M$5)</f>
        <v>15298.98</v>
      </c>
      <c r="V11" s="74" t="str">
        <f>Lists!G11</f>
        <v>CUST008</v>
      </c>
      <c r="W11" s="74" t="str">
        <f>Lists!H11</f>
        <v>Jennifer Taylor</v>
      </c>
      <c r="X11" s="75">
        <f>SUMIFS(tx_Total,tx_CustID,V11,tx_Region,$L$5,tx_Category,$M$5)</f>
        <v>4739.85</v>
      </c>
      <c r="Y11" s="53">
        <f t="shared" si="1"/>
        <v>24</v>
      </c>
    </row>
    <row r="12">
      <c r="B12" s="3" t="s">
        <v>591</v>
      </c>
      <c r="C12" s="3" t="s">
        <v>592</v>
      </c>
      <c r="D12" s="3" t="s">
        <v>593</v>
      </c>
      <c r="E12" s="3" t="s">
        <v>594</v>
      </c>
      <c r="H12" s="3" t="s">
        <v>1</v>
      </c>
      <c r="I12" s="3" t="s">
        <v>317</v>
      </c>
      <c r="J12" s="3" t="s">
        <v>325</v>
      </c>
      <c r="K12" s="3" t="s">
        <v>595</v>
      </c>
      <c r="P12" s="74" t="str">
        <f>Pivot_Summaries!Q13</f>
        <v>Dec-24</v>
      </c>
      <c r="Q12" s="75">
        <f>SUMIFS(tx_Total,tx_Date,"&gt;="&amp;Pivot_Summaries!J13,tx_Date,"&lt;="&amp;Pivot_Summaries!K13,tx_Region,$L$5,tx_Category,$M$5)</f>
        <v>23039.3</v>
      </c>
      <c r="S12" s="74" t="str">
        <f>Lists!D12</f>
        <v>Monitor</v>
      </c>
      <c r="T12" s="75">
        <f>SUMIFS(tx_Total,tx_Product,S12,tx_Region,$L$5,tx_Category,$M$5)</f>
        <v>21999.12</v>
      </c>
      <c r="V12" s="74" t="str">
        <f>Lists!G12</f>
        <v>CUST009</v>
      </c>
      <c r="W12" s="74" t="str">
        <f>Lists!H12</f>
        <v>Robert Thomas</v>
      </c>
      <c r="X12" s="75">
        <f>SUMIFS(tx_Total,tx_CustID,V12,tx_Region,$L$5,tx_Category,$M$5)</f>
        <v>3509.9</v>
      </c>
      <c r="Y12" s="53">
        <f t="shared" si="1"/>
        <v>32</v>
      </c>
    </row>
    <row r="13">
      <c r="B13" s="11" t="s">
        <v>570</v>
      </c>
      <c r="C13" s="28">
        <f>SUM(tx_Total)</f>
        <v>229192.47</v>
      </c>
      <c r="D13" s="28">
        <f>What_If!B27</f>
        <v>250000</v>
      </c>
      <c r="E13" s="85">
        <f t="shared" ref="E13:E16" si="2">C13/D13</f>
        <v>0.91676988</v>
      </c>
      <c r="H13" s="11" t="str">
        <f>Lists!A4</f>
        <v>Central</v>
      </c>
      <c r="I13" s="28">
        <f>SUMIFS(tx_Total,tx_Region,H13,tx_Category,$M$5)</f>
        <v>41288.34</v>
      </c>
      <c r="J13" s="29">
        <f t="shared" ref="J13:J17" si="3">IF(SUM($I$13:$I$17)=0,0,I13/SUM($I$13:$I$17))</f>
        <v>0.1801470179</v>
      </c>
      <c r="K13" s="86">
        <f t="shared" ref="K13:K17" si="4">IF(AVERAGE($I$13:$I$17)=0,0,I13/AVERAGE($I$13:$I$17)-1)</f>
        <v>-0.0992649104</v>
      </c>
      <c r="P13" s="74" t="str">
        <f>Pivot_Summaries!Q14</f>
        <v>Jan-25</v>
      </c>
      <c r="Q13" s="75">
        <f>SUMIFS(tx_Total,tx_Date,"&gt;="&amp;Pivot_Summaries!J14,tx_Date,"&lt;="&amp;Pivot_Summaries!K14,tx_Region,$L$5,tx_Category,$M$5)</f>
        <v>25799.15</v>
      </c>
      <c r="S13" s="74" t="str">
        <f>Lists!D13</f>
        <v>Keyboard</v>
      </c>
      <c r="T13" s="75">
        <f>SUMIFS(tx_Total,tx_Product,S13,tx_Region,$L$5,tx_Category,$M$5)</f>
        <v>8009.11</v>
      </c>
      <c r="V13" s="74" t="str">
        <f>Lists!G13</f>
        <v>CUST010</v>
      </c>
      <c r="W13" s="74" t="str">
        <f>Lists!H13</f>
        <v>Maria Garcia</v>
      </c>
      <c r="X13" s="75">
        <f>SUMIFS(tx_Total,tx_CustID,V13,tx_Region,$L$5,tx_Category,$M$5)</f>
        <v>1909.93</v>
      </c>
      <c r="Y13" s="53">
        <f t="shared" si="1"/>
        <v>38</v>
      </c>
    </row>
    <row r="14">
      <c r="B14" s="11" t="s">
        <v>315</v>
      </c>
      <c r="C14" s="18">
        <f>COUNTA(tx_ID)</f>
        <v>250</v>
      </c>
      <c r="D14" s="87">
        <v>275.0</v>
      </c>
      <c r="E14" s="85">
        <f t="shared" si="2"/>
        <v>0.9090909091</v>
      </c>
      <c r="H14" s="11" t="str">
        <f>Lists!A5</f>
        <v>East</v>
      </c>
      <c r="I14" s="28">
        <f>SUMIFS(tx_Total,tx_Region,H14,tx_Category,$M$5)</f>
        <v>59288.39</v>
      </c>
      <c r="J14" s="29">
        <f t="shared" si="3"/>
        <v>0.2586838477</v>
      </c>
      <c r="K14" s="86">
        <f t="shared" si="4"/>
        <v>0.2934192384</v>
      </c>
      <c r="P14" s="74" t="str">
        <f>Pivot_Summaries!Q15</f>
        <v>Feb-25</v>
      </c>
      <c r="Q14" s="75">
        <f>SUMIFS(tx_Total,tx_Date,"&gt;="&amp;Pivot_Summaries!J15,tx_Date,"&lt;="&amp;Pivot_Summaries!K15,tx_Region,$L$5,tx_Category,$M$5)</f>
        <v>16069.38</v>
      </c>
      <c r="V14" s="74" t="str">
        <f>Lists!G14</f>
        <v>CUST011</v>
      </c>
      <c r="W14" s="74" t="str">
        <f>Lists!H14</f>
        <v>William White</v>
      </c>
      <c r="X14" s="75">
        <f>SUMIFS(tx_Total,tx_CustID,V14,tx_Region,$L$5,tx_Category,$M$5)</f>
        <v>4749.91</v>
      </c>
      <c r="Y14" s="53">
        <f t="shared" si="1"/>
        <v>23</v>
      </c>
    </row>
    <row r="15">
      <c r="B15" s="11" t="s">
        <v>446</v>
      </c>
      <c r="C15" s="18">
        <f>SUM(tx_Qty)</f>
        <v>753</v>
      </c>
      <c r="D15" s="87">
        <v>800.0</v>
      </c>
      <c r="E15" s="85">
        <f t="shared" si="2"/>
        <v>0.94125</v>
      </c>
      <c r="H15" s="11" t="str">
        <f>Lists!A6</f>
        <v>North</v>
      </c>
      <c r="I15" s="28">
        <f>SUMIFS(tx_Total,tx_Region,H15,tx_Category,$M$5)</f>
        <v>50808.31</v>
      </c>
      <c r="J15" s="29">
        <f t="shared" si="3"/>
        <v>0.2216840283</v>
      </c>
      <c r="K15" s="86">
        <f t="shared" si="4"/>
        <v>0.1084201414</v>
      </c>
      <c r="P15" s="74" t="str">
        <f>Pivot_Summaries!Q16</f>
        <v>Mar-25</v>
      </c>
      <c r="Q15" s="75">
        <f>SUMIFS(tx_Total,tx_Date,"&gt;="&amp;Pivot_Summaries!J16,tx_Date,"&lt;="&amp;Pivot_Summaries!K16,tx_Region,$L$5,tx_Category,$M$5)</f>
        <v>19899.38</v>
      </c>
      <c r="V15" s="74" t="str">
        <f>Lists!G15</f>
        <v>CUST012</v>
      </c>
      <c r="W15" s="74" t="str">
        <f>Lists!H15</f>
        <v>Patricia Moore</v>
      </c>
      <c r="X15" s="75">
        <f>SUMIFS(tx_Total,tx_CustID,V15,tx_Region,$L$5,tx_Category,$M$5)</f>
        <v>9799.73</v>
      </c>
      <c r="Y15" s="53">
        <f t="shared" si="1"/>
        <v>4</v>
      </c>
    </row>
    <row r="16">
      <c r="B16" s="11" t="s">
        <v>318</v>
      </c>
      <c r="C16" s="28">
        <f>C13/C14</f>
        <v>916.76988</v>
      </c>
      <c r="D16" s="46">
        <v>950.0</v>
      </c>
      <c r="E16" s="85">
        <f t="shared" si="2"/>
        <v>0.9650209263</v>
      </c>
      <c r="H16" s="11" t="str">
        <f>Lists!A7</f>
        <v>South</v>
      </c>
      <c r="I16" s="28">
        <f>SUMIFS(tx_Total,tx_Region,H16,tx_Category,$M$5)</f>
        <v>36398.75</v>
      </c>
      <c r="J16" s="29">
        <f t="shared" si="3"/>
        <v>0.1588130273</v>
      </c>
      <c r="K16" s="86">
        <f t="shared" si="4"/>
        <v>-0.2059348634</v>
      </c>
      <c r="P16" s="74" t="str">
        <f>Pivot_Summaries!Q17</f>
        <v>Apr-25</v>
      </c>
      <c r="Q16" s="75">
        <f>SUMIFS(tx_Total,tx_Date,"&gt;="&amp;Pivot_Summaries!J17,tx_Date,"&lt;="&amp;Pivot_Summaries!K17,tx_Region,$L$5,tx_Category,$M$5)</f>
        <v>6979.83</v>
      </c>
      <c r="V16" s="74" t="str">
        <f>Lists!G16</f>
        <v>CUST013</v>
      </c>
      <c r="W16" s="74" t="str">
        <f>Lists!H16</f>
        <v>Joseph Jackson</v>
      </c>
      <c r="X16" s="75">
        <f>SUMIFS(tx_Total,tx_CustID,V16,tx_Region,$L$5,tx_Category,$M$5)</f>
        <v>6949.84</v>
      </c>
      <c r="Y16" s="53">
        <f t="shared" si="1"/>
        <v>10</v>
      </c>
    </row>
    <row r="17">
      <c r="B17" s="88"/>
      <c r="H17" s="11" t="str">
        <f>Lists!A8</f>
        <v>West</v>
      </c>
      <c r="I17" s="28">
        <f>SUMIFS(tx_Total,tx_Region,H17,tx_Category,$M$5)</f>
        <v>41408.68</v>
      </c>
      <c r="J17" s="29">
        <f t="shared" si="3"/>
        <v>0.1806720788</v>
      </c>
      <c r="K17" s="86">
        <f t="shared" si="4"/>
        <v>-0.096639606</v>
      </c>
      <c r="V17" s="74" t="str">
        <f>Lists!G17</f>
        <v>CUST014</v>
      </c>
      <c r="W17" s="74" t="str">
        <f>Lists!H17</f>
        <v>Linda Martin</v>
      </c>
      <c r="X17" s="75">
        <f>SUMIFS(tx_Total,tx_CustID,V17,tx_Region,$L$5,tx_Category,$M$5)</f>
        <v>1289.9</v>
      </c>
      <c r="Y17" s="53">
        <f t="shared" si="1"/>
        <v>43</v>
      </c>
    </row>
    <row r="18">
      <c r="V18" s="74" t="str">
        <f>Lists!G18</f>
        <v>CUST015</v>
      </c>
      <c r="W18" s="74" t="str">
        <f>Lists!H18</f>
        <v>Richard Lee</v>
      </c>
      <c r="X18" s="75">
        <f>SUMIFS(tx_Total,tx_CustID,V18,tx_Region,$L$5,tx_Category,$M$5)</f>
        <v>739.93</v>
      </c>
      <c r="Y18" s="53">
        <f t="shared" si="1"/>
        <v>46</v>
      </c>
    </row>
    <row r="19">
      <c r="B19" s="6" t="s">
        <v>596</v>
      </c>
      <c r="H19" s="6" t="s">
        <v>597</v>
      </c>
      <c r="V19" s="74" t="str">
        <f>Lists!G19</f>
        <v>CUST016</v>
      </c>
      <c r="W19" s="74" t="str">
        <f>Lists!H19</f>
        <v>Elizabeth Hall</v>
      </c>
      <c r="X19" s="75">
        <f>SUMIFS(tx_Total,tx_CustID,V19,tx_Region,$L$5,tx_Category,$M$5)</f>
        <v>3649.86</v>
      </c>
      <c r="Y19" s="53">
        <f t="shared" si="1"/>
        <v>31</v>
      </c>
    </row>
    <row r="20">
      <c r="B20" s="3" t="s">
        <v>320</v>
      </c>
      <c r="C20" s="3" t="s">
        <v>324</v>
      </c>
      <c r="D20" s="3" t="s">
        <v>317</v>
      </c>
      <c r="E20" s="3" t="s">
        <v>325</v>
      </c>
      <c r="H20" s="3" t="s">
        <v>2</v>
      </c>
      <c r="I20" s="3" t="s">
        <v>317</v>
      </c>
      <c r="J20" s="3" t="s">
        <v>325</v>
      </c>
      <c r="V20" s="74" t="str">
        <f>Lists!G20</f>
        <v>CUST017</v>
      </c>
      <c r="W20" s="74" t="str">
        <f>Lists!H20</f>
        <v>Charles Allen</v>
      </c>
      <c r="X20" s="75">
        <f>SUMIFS(tx_Total,tx_CustID,V20,tx_Region,$L$5,tx_Category,$M$5)</f>
        <v>5089.73</v>
      </c>
      <c r="Y20" s="53">
        <f t="shared" si="1"/>
        <v>20</v>
      </c>
    </row>
    <row r="21" ht="15.75" customHeight="1">
      <c r="B21" s="17">
        <v>1.0</v>
      </c>
      <c r="C21" s="11" t="str">
        <f t="shared" ref="C21:C25" si="5">IF(D21=0,"–",INDEX($W$4:$W$53,MATCH(B21,$Y$4:$Y$53,0)))</f>
        <v>Mark Carter</v>
      </c>
      <c r="D21" s="28">
        <f t="shared" ref="D21:D25" si="6">INDEX($X$4:$X$53,MATCH(B21,$Y$4:$Y$53,0))</f>
        <v>15659.65</v>
      </c>
      <c r="E21" s="29">
        <f t="shared" ref="E21:E25" si="7">IF($B$8=0,0,D21/$B$8)</f>
        <v>0.068325325</v>
      </c>
      <c r="H21" s="11" t="str">
        <f>Lists!B4</f>
        <v>Appliances</v>
      </c>
      <c r="I21" s="28">
        <f>SUMIFS(tx_Total,tx_Category,H21,tx_Region,$L$5)</f>
        <v>8338.74</v>
      </c>
      <c r="J21" s="29">
        <f t="shared" ref="J21:J23" si="8">IF(SUM($I$21:$I$23)=0,0,I21/SUM($I$21:$I$23))</f>
        <v>0.03638313248</v>
      </c>
      <c r="V21" s="74" t="str">
        <f>Lists!G21</f>
        <v>CUST018</v>
      </c>
      <c r="W21" s="74" t="str">
        <f>Lists!H21</f>
        <v>Barbara Young</v>
      </c>
      <c r="X21" s="75">
        <f>SUMIFS(tx_Total,tx_CustID,V21,tx_Region,$L$5,tx_Category,$M$5)</f>
        <v>10649.8</v>
      </c>
      <c r="Y21" s="53">
        <f t="shared" si="1"/>
        <v>3</v>
      </c>
    </row>
    <row r="22" ht="15.75" customHeight="1">
      <c r="B22" s="17">
        <v>2.0</v>
      </c>
      <c r="C22" s="11" t="str">
        <f t="shared" si="5"/>
        <v>Edward Mitchell</v>
      </c>
      <c r="D22" s="28">
        <f t="shared" si="6"/>
        <v>11919.77</v>
      </c>
      <c r="E22" s="29">
        <f t="shared" si="7"/>
        <v>0.05200768594</v>
      </c>
      <c r="H22" s="11" t="str">
        <f>Lists!B5</f>
        <v>Electronics</v>
      </c>
      <c r="I22" s="28">
        <f>SUMIFS(tx_Total,tx_Category,H22,tx_Region,$L$5)</f>
        <v>171756.05</v>
      </c>
      <c r="J22" s="29">
        <f t="shared" si="8"/>
        <v>0.7493965661</v>
      </c>
      <c r="V22" s="74" t="str">
        <f>Lists!G22</f>
        <v>CUST019</v>
      </c>
      <c r="W22" s="74" t="str">
        <f>Lists!H22</f>
        <v>Daniel King</v>
      </c>
      <c r="X22" s="75">
        <f>SUMIFS(tx_Total,tx_CustID,V22,tx_Region,$L$5,tx_Category,$M$5)</f>
        <v>7309.8</v>
      </c>
      <c r="Y22" s="53">
        <f t="shared" si="1"/>
        <v>8</v>
      </c>
    </row>
    <row r="23" ht="15.75" customHeight="1">
      <c r="B23" s="17">
        <v>3.0</v>
      </c>
      <c r="C23" s="11" t="str">
        <f t="shared" si="5"/>
        <v>Barbara Young</v>
      </c>
      <c r="D23" s="28">
        <f t="shared" si="6"/>
        <v>10649.8</v>
      </c>
      <c r="E23" s="29">
        <f t="shared" si="7"/>
        <v>0.04646662257</v>
      </c>
      <c r="H23" s="11" t="str">
        <f>Lists!B6</f>
        <v>Furniture</v>
      </c>
      <c r="I23" s="28">
        <f>SUMIFS(tx_Total,tx_Category,H23,tx_Region,$L$5)</f>
        <v>49097.68</v>
      </c>
      <c r="J23" s="29">
        <f t="shared" si="8"/>
        <v>0.2142203014</v>
      </c>
      <c r="V23" s="74" t="str">
        <f>Lists!G23</f>
        <v>CUST020</v>
      </c>
      <c r="W23" s="74" t="str">
        <f>Lists!H23</f>
        <v>Margaret Wright</v>
      </c>
      <c r="X23" s="75">
        <f>SUMIFS(tx_Total,tx_CustID,V23,tx_Region,$L$5,tx_Category,$M$5)</f>
        <v>2099.88</v>
      </c>
      <c r="Y23" s="53">
        <f t="shared" si="1"/>
        <v>35</v>
      </c>
    </row>
    <row r="24" ht="15.75" customHeight="1">
      <c r="B24" s="17">
        <v>4.0</v>
      </c>
      <c r="C24" s="11" t="str">
        <f t="shared" si="5"/>
        <v>Patricia Moore</v>
      </c>
      <c r="D24" s="28">
        <f t="shared" si="6"/>
        <v>9799.73</v>
      </c>
      <c r="E24" s="29">
        <f t="shared" si="7"/>
        <v>0.04275764383</v>
      </c>
      <c r="V24" s="74" t="str">
        <f>Lists!G24</f>
        <v>CUST021</v>
      </c>
      <c r="W24" s="74" t="str">
        <f>Lists!H24</f>
        <v>Kevin Scott</v>
      </c>
      <c r="X24" s="75">
        <f>SUMIFS(tx_Total,tx_CustID,V24,tx_Region,$L$5,tx_Category,$M$5)</f>
        <v>3259.87</v>
      </c>
      <c r="Y24" s="53">
        <f t="shared" si="1"/>
        <v>33</v>
      </c>
    </row>
    <row r="25" ht="15.75" customHeight="1">
      <c r="B25" s="17">
        <v>5.0</v>
      </c>
      <c r="C25" s="11" t="str">
        <f t="shared" si="5"/>
        <v>Paul Baker</v>
      </c>
      <c r="D25" s="28">
        <f t="shared" si="6"/>
        <v>8309.74</v>
      </c>
      <c r="E25" s="29">
        <f t="shared" si="7"/>
        <v>0.03625660127</v>
      </c>
      <c r="V25" s="74" t="str">
        <f>Lists!G25</f>
        <v>CUST022</v>
      </c>
      <c r="W25" s="74" t="str">
        <f>Lists!H25</f>
        <v>Susan Green</v>
      </c>
      <c r="X25" s="75">
        <f>SUMIFS(tx_Total,tx_CustID,V25,tx_Region,$L$5,tx_Category,$M$5)</f>
        <v>1979.89</v>
      </c>
      <c r="Y25" s="53">
        <f t="shared" si="1"/>
        <v>37</v>
      </c>
    </row>
    <row r="26" ht="15.75" customHeight="1">
      <c r="V26" s="74" t="str">
        <f>Lists!G26</f>
        <v>CUST023</v>
      </c>
      <c r="W26" s="74" t="str">
        <f>Lists!H26</f>
        <v>Paul Baker</v>
      </c>
      <c r="X26" s="75">
        <f>SUMIFS(tx_Total,tx_CustID,V26,tx_Region,$L$5,tx_Category,$M$5)</f>
        <v>8309.74</v>
      </c>
      <c r="Y26" s="53">
        <f t="shared" si="1"/>
        <v>5</v>
      </c>
    </row>
    <row r="27" ht="15.75" customHeight="1">
      <c r="V27" s="74" t="str">
        <f>Lists!G27</f>
        <v>CUST024</v>
      </c>
      <c r="W27" s="74" t="str">
        <f>Lists!H27</f>
        <v>Dorothy Nelson</v>
      </c>
      <c r="X27" s="75">
        <f>SUMIFS(tx_Total,tx_CustID,V27,tx_Region,$L$5,tx_Category,$M$5)</f>
        <v>8269.79</v>
      </c>
      <c r="Y27" s="53">
        <f t="shared" si="1"/>
        <v>6</v>
      </c>
    </row>
    <row r="28" ht="15.75" customHeight="1">
      <c r="V28" s="74" t="str">
        <f>Lists!G28</f>
        <v>CUST025</v>
      </c>
      <c r="W28" s="74" t="str">
        <f>Lists!H28</f>
        <v>Mark Carter</v>
      </c>
      <c r="X28" s="75">
        <f>SUMIFS(tx_Total,tx_CustID,V28,tx_Region,$L$5,tx_Category,$M$5)</f>
        <v>15659.65</v>
      </c>
      <c r="Y28" s="53">
        <f t="shared" si="1"/>
        <v>1</v>
      </c>
    </row>
    <row r="29" ht="15.75" customHeight="1">
      <c r="V29" s="74" t="str">
        <f>Lists!G29</f>
        <v>CUST026</v>
      </c>
      <c r="W29" s="74" t="str">
        <f>Lists!H29</f>
        <v>Karen Hill</v>
      </c>
      <c r="X29" s="75">
        <f>SUMIFS(tx_Total,tx_CustID,V29,tx_Region,$L$5,tx_Category,$M$5)</f>
        <v>8009.77</v>
      </c>
      <c r="Y29" s="53">
        <f t="shared" si="1"/>
        <v>7</v>
      </c>
    </row>
    <row r="30" ht="15.75" customHeight="1">
      <c r="V30" s="74" t="str">
        <f>Lists!G30</f>
        <v>CUST027</v>
      </c>
      <c r="W30" s="74" t="str">
        <f>Lists!H30</f>
        <v>George Adams</v>
      </c>
      <c r="X30" s="75">
        <f>SUMIFS(tx_Total,tx_CustID,V30,tx_Region,$L$5,tx_Category,$M$5)</f>
        <v>3779.93</v>
      </c>
      <c r="Y30" s="53">
        <f t="shared" si="1"/>
        <v>28</v>
      </c>
    </row>
    <row r="31" ht="15.75" customHeight="1">
      <c r="V31" s="74" t="str">
        <f>Lists!G31</f>
        <v>CUST028</v>
      </c>
      <c r="W31" s="74" t="str">
        <f>Lists!H31</f>
        <v>Betty Campbell</v>
      </c>
      <c r="X31" s="75">
        <f>SUMIFS(tx_Total,tx_CustID,V31,tx_Region,$L$5,tx_Category,$M$5)</f>
        <v>5649.84</v>
      </c>
      <c r="Y31" s="53">
        <f t="shared" si="1"/>
        <v>16</v>
      </c>
    </row>
    <row r="32" ht="15.75" customHeight="1">
      <c r="V32" s="74" t="str">
        <f>Lists!G32</f>
        <v>CUST029</v>
      </c>
      <c r="W32" s="74" t="str">
        <f>Lists!H32</f>
        <v>Edward Mitchell</v>
      </c>
      <c r="X32" s="75">
        <f>SUMIFS(tx_Total,tx_CustID,V32,tx_Region,$L$5,tx_Category,$M$5)</f>
        <v>11919.77</v>
      </c>
      <c r="Y32" s="53">
        <f t="shared" si="1"/>
        <v>2</v>
      </c>
    </row>
    <row r="33" ht="15.75" customHeight="1">
      <c r="V33" s="74" t="str">
        <f>Lists!G33</f>
        <v>CUST030</v>
      </c>
      <c r="W33" s="74" t="str">
        <f>Lists!H33</f>
        <v>Helen Roberts</v>
      </c>
      <c r="X33" s="75">
        <f>SUMIFS(tx_Total,tx_CustID,V33,tx_Region,$L$5,tx_Category,$M$5)</f>
        <v>6459.79</v>
      </c>
      <c r="Y33" s="53">
        <f t="shared" si="1"/>
        <v>11</v>
      </c>
    </row>
    <row r="34" ht="15.75" customHeight="1">
      <c r="V34" s="74" t="str">
        <f>Lists!G34</f>
        <v>CUST031</v>
      </c>
      <c r="W34" s="74" t="str">
        <f>Lists!H34</f>
        <v>Steven Turner</v>
      </c>
      <c r="X34" s="75">
        <f>SUMIFS(tx_Total,tx_CustID,V34,tx_Region,$L$5,tx_Category,$M$5)</f>
        <v>2649.83</v>
      </c>
      <c r="Y34" s="53">
        <f t="shared" si="1"/>
        <v>34</v>
      </c>
    </row>
    <row r="35" ht="15.75" customHeight="1">
      <c r="V35" s="74" t="str">
        <f>Lists!G35</f>
        <v>CUST032</v>
      </c>
      <c r="W35" s="74" t="str">
        <f>Lists!H35</f>
        <v>Sandra Phillips</v>
      </c>
      <c r="X35" s="75">
        <f>SUMIFS(tx_Total,tx_CustID,V35,tx_Region,$L$5,tx_Category,$M$5)</f>
        <v>6349.83</v>
      </c>
      <c r="Y35" s="53">
        <f t="shared" si="1"/>
        <v>13</v>
      </c>
    </row>
    <row r="36" ht="15.75" customHeight="1">
      <c r="V36" s="74" t="str">
        <f>Lists!G36</f>
        <v>CUST033</v>
      </c>
      <c r="W36" s="74" t="str">
        <f>Lists!H36</f>
        <v>Frank Torres</v>
      </c>
      <c r="X36" s="75">
        <f>SUMIFS(tx_Total,tx_CustID,V36,tx_Region,$L$5,tx_Category,$M$5)</f>
        <v>1479.91</v>
      </c>
      <c r="Y36" s="53">
        <f t="shared" si="1"/>
        <v>42</v>
      </c>
    </row>
    <row r="37" ht="15.75" customHeight="1">
      <c r="V37" s="74" t="str">
        <f>Lists!G37</f>
        <v>CUST034</v>
      </c>
      <c r="W37" s="74" t="str">
        <f>Lists!H37</f>
        <v>Carol Evans</v>
      </c>
      <c r="X37" s="75">
        <f>SUMIFS(tx_Total,tx_CustID,V37,tx_Region,$L$5,tx_Category,$M$5)</f>
        <v>1149.93</v>
      </c>
      <c r="Y37" s="53">
        <f t="shared" si="1"/>
        <v>45</v>
      </c>
    </row>
    <row r="38" ht="15.75" customHeight="1">
      <c r="V38" s="74" t="str">
        <f>Lists!G38</f>
        <v>CUST035</v>
      </c>
      <c r="W38" s="74" t="str">
        <f>Lists!H38</f>
        <v>Harry Morgan</v>
      </c>
      <c r="X38" s="75">
        <f>SUMIFS(tx_Total,tx_CustID,V38,tx_Region,$L$5,tx_Category,$M$5)</f>
        <v>5519.89</v>
      </c>
      <c r="Y38" s="53">
        <f t="shared" si="1"/>
        <v>18</v>
      </c>
    </row>
    <row r="39" ht="15.75" customHeight="1">
      <c r="V39" s="74" t="str">
        <f>Lists!G39</f>
        <v>CUST036</v>
      </c>
      <c r="W39" s="74" t="str">
        <f>Lists!H39</f>
        <v>Nancy Collins</v>
      </c>
      <c r="X39" s="75">
        <f>SUMIFS(tx_Total,tx_CustID,V39,tx_Region,$L$5,tx_Category,$M$5)</f>
        <v>4189.77</v>
      </c>
      <c r="Y39" s="53">
        <f t="shared" si="1"/>
        <v>27</v>
      </c>
    </row>
    <row r="40" ht="15.75" customHeight="1">
      <c r="V40" s="74" t="str">
        <f>Lists!G40</f>
        <v>CUST037</v>
      </c>
      <c r="W40" s="74" t="str">
        <f>Lists!H40</f>
        <v>Arthur Edwards</v>
      </c>
      <c r="X40" s="75">
        <f>SUMIFS(tx_Total,tx_CustID,V40,tx_Region,$L$5,tx_Category,$M$5)</f>
        <v>1559.94</v>
      </c>
      <c r="Y40" s="53">
        <f t="shared" si="1"/>
        <v>41</v>
      </c>
    </row>
    <row r="41" ht="15.75" customHeight="1">
      <c r="V41" s="74" t="str">
        <f>Lists!G41</f>
        <v>CUST038</v>
      </c>
      <c r="W41" s="74" t="str">
        <f>Lists!H41</f>
        <v>Michelle Rogers</v>
      </c>
      <c r="X41" s="75">
        <f>SUMIFS(tx_Total,tx_CustID,V41,tx_Region,$L$5,tx_Category,$M$5)</f>
        <v>4199.94</v>
      </c>
      <c r="Y41" s="53">
        <f t="shared" si="1"/>
        <v>26</v>
      </c>
    </row>
    <row r="42" ht="15.75" customHeight="1">
      <c r="V42" s="74" t="str">
        <f>Lists!G42</f>
        <v>CUST039</v>
      </c>
      <c r="W42" s="74" t="str">
        <f>Lists!H42</f>
        <v>Lawrence Reed</v>
      </c>
      <c r="X42" s="75">
        <f>SUMIFS(tx_Total,tx_CustID,V42,tx_Region,$L$5,tx_Category,$M$5)</f>
        <v>6989.77</v>
      </c>
      <c r="Y42" s="53">
        <f t="shared" si="1"/>
        <v>9</v>
      </c>
    </row>
    <row r="43" ht="15.75" customHeight="1">
      <c r="V43" s="74" t="str">
        <f>Lists!G43</f>
        <v>CUST040</v>
      </c>
      <c r="W43" s="74" t="str">
        <f>Lists!H43</f>
        <v>Sharon Butler</v>
      </c>
      <c r="X43" s="75">
        <f>SUMIFS(tx_Total,tx_CustID,V43,tx_Region,$L$5,tx_Category,$M$5)</f>
        <v>5619.87</v>
      </c>
      <c r="Y43" s="53">
        <f t="shared" si="1"/>
        <v>17</v>
      </c>
    </row>
    <row r="44" ht="15.75" customHeight="1">
      <c r="V44" s="74" t="str">
        <f>Lists!G44</f>
        <v>CUST041</v>
      </c>
      <c r="W44" s="74" t="str">
        <f>Lists!H44</f>
        <v>Peter Richardson</v>
      </c>
      <c r="X44" s="75">
        <f>SUMIFS(tx_Total,tx_CustID,V44,tx_Region,$L$5,tx_Category,$M$5)</f>
        <v>5949.85</v>
      </c>
      <c r="Y44" s="53">
        <f t="shared" si="1"/>
        <v>15</v>
      </c>
    </row>
    <row r="45" ht="15.75" customHeight="1">
      <c r="V45" s="74" t="str">
        <f>Lists!G45</f>
        <v>CUST042</v>
      </c>
      <c r="W45" s="74" t="str">
        <f>Lists!H45</f>
        <v>Ruth Brooks</v>
      </c>
      <c r="X45" s="75">
        <f>SUMIFS(tx_Total,tx_CustID,V45,tx_Region,$L$5,tx_Category,$M$5)</f>
        <v>1749.92</v>
      </c>
      <c r="Y45" s="53">
        <f t="shared" si="1"/>
        <v>40</v>
      </c>
    </row>
    <row r="46" ht="15.75" customHeight="1">
      <c r="V46" s="74" t="str">
        <f>Lists!G46</f>
        <v>CUST043</v>
      </c>
      <c r="W46" s="74" t="str">
        <f>Lists!H46</f>
        <v>Dennis Gray</v>
      </c>
      <c r="X46" s="75">
        <f>SUMIFS(tx_Total,tx_CustID,V46,tx_Region,$L$5,tx_Category,$M$5)</f>
        <v>479.92</v>
      </c>
      <c r="Y46" s="53">
        <f t="shared" si="1"/>
        <v>48</v>
      </c>
    </row>
    <row r="47" ht="15.75" customHeight="1">
      <c r="V47" s="74" t="str">
        <f>Lists!G47</f>
        <v>CUST044</v>
      </c>
      <c r="W47" s="74" t="str">
        <f>Lists!H47</f>
        <v>Cynthia Price</v>
      </c>
      <c r="X47" s="75">
        <f>SUMIFS(tx_Total,tx_CustID,V47,tx_Region,$L$5,tx_Category,$M$5)</f>
        <v>3769.83</v>
      </c>
      <c r="Y47" s="53">
        <f t="shared" si="1"/>
        <v>29</v>
      </c>
    </row>
    <row r="48" ht="15.75" customHeight="1">
      <c r="V48" s="74" t="str">
        <f>Lists!G48</f>
        <v>CUST045</v>
      </c>
      <c r="W48" s="74" t="str">
        <f>Lists!H48</f>
        <v>Douglas Watson</v>
      </c>
      <c r="X48" s="75">
        <f>SUMIFS(tx_Total,tx_CustID,V48,tx_Region,$L$5,tx_Category,$M$5)</f>
        <v>4829.89</v>
      </c>
      <c r="Y48" s="53">
        <f t="shared" si="1"/>
        <v>21</v>
      </c>
    </row>
    <row r="49" ht="15.75" customHeight="1">
      <c r="V49" s="74" t="str">
        <f>Lists!G49</f>
        <v>CUST046</v>
      </c>
      <c r="W49" s="74" t="str">
        <f>Lists!H49</f>
        <v>Kathleen Bennett</v>
      </c>
      <c r="X49" s="75">
        <f>SUMIFS(tx_Total,tx_CustID,V49,tx_Region,$L$5,tx_Category,$M$5)</f>
        <v>4309.81</v>
      </c>
      <c r="Y49" s="53">
        <f t="shared" si="1"/>
        <v>25</v>
      </c>
    </row>
    <row r="50" ht="15.75" customHeight="1">
      <c r="V50" s="74" t="str">
        <f>Lists!G50</f>
        <v>CUST047</v>
      </c>
      <c r="W50" s="74" t="str">
        <f>Lists!H50</f>
        <v>Gerald Murphy</v>
      </c>
      <c r="X50" s="75">
        <f>SUMIFS(tx_Total,tx_CustID,V50,tx_Region,$L$5,tx_Category,$M$5)</f>
        <v>6379.87</v>
      </c>
      <c r="Y50" s="53">
        <f t="shared" si="1"/>
        <v>12</v>
      </c>
    </row>
    <row r="51" ht="15.75" customHeight="1">
      <c r="V51" s="74" t="str">
        <f>Lists!G51</f>
        <v>CUST048</v>
      </c>
      <c r="W51" s="74" t="str">
        <f>Lists!H51</f>
        <v>Virginia Sanders</v>
      </c>
      <c r="X51" s="75">
        <f>SUMIFS(tx_Total,tx_CustID,V51,tx_Region,$L$5,tx_Category,$M$5)</f>
        <v>4789.79</v>
      </c>
      <c r="Y51" s="53">
        <f t="shared" si="1"/>
        <v>22</v>
      </c>
    </row>
    <row r="52" ht="15.75" customHeight="1">
      <c r="V52" s="74" t="str">
        <f>Lists!G52</f>
        <v>CUST049</v>
      </c>
      <c r="W52" s="74" t="str">
        <f>Lists!H52</f>
        <v>Raymond Ross</v>
      </c>
      <c r="X52" s="75">
        <f>SUMIFS(tx_Total,tx_CustID,V52,tx_Region,$L$5,tx_Category,$M$5)</f>
        <v>3669.85</v>
      </c>
      <c r="Y52" s="53">
        <f t="shared" si="1"/>
        <v>30</v>
      </c>
    </row>
    <row r="53" ht="15.75" customHeight="1">
      <c r="V53" s="74" t="str">
        <f>Lists!G53</f>
        <v>CUST050</v>
      </c>
      <c r="W53" s="74" t="str">
        <f>Lists!H53</f>
        <v>Julie Foster</v>
      </c>
      <c r="X53" s="75">
        <f>SUMIFS(tx_Total,tx_CustID,V53,tx_Region,$L$5,tx_Category,$M$5)</f>
        <v>239.96</v>
      </c>
      <c r="Y53" s="53">
        <f t="shared" si="1"/>
        <v>49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>
      <c r="B60" s="8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8:E8"/>
    <mergeCell ref="F8:G8"/>
    <mergeCell ref="B9:C9"/>
    <mergeCell ref="D9:E9"/>
    <mergeCell ref="F9:G9"/>
    <mergeCell ref="H8:I8"/>
    <mergeCell ref="J8:K8"/>
    <mergeCell ref="H9:I9"/>
    <mergeCell ref="J9:K9"/>
    <mergeCell ref="L9:M9"/>
    <mergeCell ref="B7:C7"/>
    <mergeCell ref="D7:E7"/>
    <mergeCell ref="F7:G7"/>
    <mergeCell ref="H7:I7"/>
    <mergeCell ref="J7:K7"/>
    <mergeCell ref="L7:M7"/>
    <mergeCell ref="B8:C8"/>
    <mergeCell ref="L8:M8"/>
  </mergeCells>
  <conditionalFormatting sqref="H13:H17">
    <cfRule type="expression" dxfId="3" priority="1">
      <formula>$H13=$C$4</formula>
    </cfRule>
  </conditionalFormatting>
  <dataValidations>
    <dataValidation type="list" allowBlank="1" sqref="F4">
      <formula1>Lists!$J$4:$J$7</formula1>
    </dataValidation>
    <dataValidation type="list" allowBlank="1" sqref="C4">
      <formula1>Lists!$I$4:$I$9</formula1>
    </dataValidation>
  </dataValidations>
  <printOptions/>
  <pageMargins bottom="1.0" footer="0.0" header="0.0" left="0.75" right="0.75" top="1.0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 fitToPage="1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4.0"/>
    <col customWidth="1" min="3" max="7" width="18.0"/>
    <col customWidth="1" min="8" max="26" width="8.71"/>
  </cols>
  <sheetData>
    <row r="2">
      <c r="B2" s="6" t="s">
        <v>569</v>
      </c>
    </row>
    <row r="3">
      <c r="B3" s="11" t="s">
        <v>570</v>
      </c>
      <c r="C3" s="32">
        <f>SUM(tx_Total)</f>
        <v>229192.47</v>
      </c>
    </row>
    <row r="4">
      <c r="B4" s="11" t="s">
        <v>315</v>
      </c>
      <c r="C4" s="41">
        <f>COUNTA(tx_ID)</f>
        <v>250</v>
      </c>
    </row>
    <row r="5">
      <c r="B5" s="11" t="s">
        <v>446</v>
      </c>
      <c r="C5" s="41">
        <f>SUM(tx_Qty)</f>
        <v>753</v>
      </c>
    </row>
    <row r="6">
      <c r="B6" s="11" t="s">
        <v>571</v>
      </c>
      <c r="C6" s="32">
        <f>C3/C4</f>
        <v>916.76988</v>
      </c>
    </row>
    <row r="7">
      <c r="B7" s="11" t="s">
        <v>572</v>
      </c>
      <c r="C7" s="41">
        <f>COUNTIF(Customer_Analysis!C8:C57,"&gt;0")</f>
        <v>50</v>
      </c>
    </row>
    <row r="8">
      <c r="B8" s="11" t="s">
        <v>573</v>
      </c>
      <c r="C8" s="32">
        <f>C3/C7</f>
        <v>4583.8494</v>
      </c>
    </row>
    <row r="10">
      <c r="B10" s="6" t="s">
        <v>574</v>
      </c>
    </row>
    <row r="11">
      <c r="B11" s="3" t="s">
        <v>324</v>
      </c>
      <c r="C11" s="3" t="s">
        <v>317</v>
      </c>
      <c r="D11" s="3" t="s">
        <v>575</v>
      </c>
      <c r="E11" s="3" t="s">
        <v>315</v>
      </c>
      <c r="F11" s="3" t="s">
        <v>321</v>
      </c>
    </row>
    <row r="12">
      <c r="B12" s="11" t="str">
        <f>Customer_Analysis!O8</f>
        <v>Mark Carter</v>
      </c>
      <c r="C12" s="28">
        <f>Customer_Analysis!P8</f>
        <v>15659.65</v>
      </c>
      <c r="D12" s="29">
        <f>Customer_Analysis!Q8</f>
        <v>0.068325325</v>
      </c>
      <c r="E12" s="18">
        <f>Customer_Analysis!R8</f>
        <v>12</v>
      </c>
      <c r="F12" s="11" t="str">
        <f>Customer_Analysis!S8</f>
        <v>High-Value</v>
      </c>
    </row>
    <row r="13">
      <c r="B13" s="11" t="str">
        <f>Customer_Analysis!O9</f>
        <v>Edward Mitchell</v>
      </c>
      <c r="C13" s="28">
        <f>Customer_Analysis!P9</f>
        <v>11919.77</v>
      </c>
      <c r="D13" s="29">
        <f>Customer_Analysis!Q9</f>
        <v>0.05200768594</v>
      </c>
      <c r="E13" s="18">
        <f>Customer_Analysis!R9</f>
        <v>6</v>
      </c>
      <c r="F13" s="11" t="str">
        <f>Customer_Analysis!S9</f>
        <v>High-Value</v>
      </c>
    </row>
    <row r="14">
      <c r="B14" s="11" t="str">
        <f>Customer_Analysis!O10</f>
        <v>Barbara Young</v>
      </c>
      <c r="C14" s="28">
        <f>Customer_Analysis!P10</f>
        <v>10649.8</v>
      </c>
      <c r="D14" s="29">
        <f>Customer_Analysis!Q10</f>
        <v>0.04646662257</v>
      </c>
      <c r="E14" s="18">
        <f>Customer_Analysis!R10</f>
        <v>5</v>
      </c>
      <c r="F14" s="11" t="str">
        <f>Customer_Analysis!S10</f>
        <v>High-Value</v>
      </c>
    </row>
    <row r="15">
      <c r="B15" s="11" t="str">
        <f>Customer_Analysis!O11</f>
        <v>Patricia Moore</v>
      </c>
      <c r="C15" s="28">
        <f>Customer_Analysis!P11</f>
        <v>9799.73</v>
      </c>
      <c r="D15" s="29">
        <f>Customer_Analysis!Q11</f>
        <v>0.04275764383</v>
      </c>
      <c r="E15" s="18">
        <f>Customer_Analysis!R11</f>
        <v>8</v>
      </c>
      <c r="F15" s="11" t="str">
        <f>Customer_Analysis!S11</f>
        <v>High-Value</v>
      </c>
    </row>
    <row r="16">
      <c r="B16" s="11" t="str">
        <f>Customer_Analysis!O12</f>
        <v>Paul Baker</v>
      </c>
      <c r="C16" s="28">
        <f>Customer_Analysis!P12</f>
        <v>8309.74</v>
      </c>
      <c r="D16" s="29">
        <f>Customer_Analysis!Q12</f>
        <v>0.03625660127</v>
      </c>
      <c r="E16" s="18">
        <f>Customer_Analysis!R12</f>
        <v>8</v>
      </c>
      <c r="F16" s="11" t="str">
        <f>Customer_Analysis!S12</f>
        <v>High-Value</v>
      </c>
    </row>
    <row r="18">
      <c r="B18" s="6" t="s">
        <v>576</v>
      </c>
    </row>
    <row r="19" ht="15.75" customHeight="1">
      <c r="B19" s="3" t="s">
        <v>443</v>
      </c>
      <c r="C19" s="3" t="s">
        <v>316</v>
      </c>
      <c r="D19" s="3" t="s">
        <v>317</v>
      </c>
      <c r="E19" s="3" t="s">
        <v>577</v>
      </c>
    </row>
    <row r="20" ht="15.75" customHeight="1">
      <c r="B20" s="11" t="str">
        <f>Product_Analysis!N6</f>
        <v>Bookshelf</v>
      </c>
      <c r="C20" s="18">
        <f>Product_Analysis!O6</f>
        <v>102</v>
      </c>
      <c r="D20" s="28">
        <f>Product_Analysis!P6</f>
        <v>15298.98</v>
      </c>
      <c r="E20" s="18">
        <f>Product_Analysis!Q6</f>
        <v>35</v>
      </c>
    </row>
    <row r="21" ht="15.75" customHeight="1">
      <c r="B21" s="11" t="str">
        <f>Product_Analysis!N7</f>
        <v>Smartphone</v>
      </c>
      <c r="C21" s="18">
        <f>Product_Analysis!O7</f>
        <v>96</v>
      </c>
      <c r="D21" s="28">
        <f>Product_Analysis!P7</f>
        <v>67199.04</v>
      </c>
      <c r="E21" s="18">
        <f>Product_Analysis!Q7</f>
        <v>31</v>
      </c>
    </row>
    <row r="22" ht="15.75" customHeight="1">
      <c r="B22" s="11" t="str">
        <f>Product_Analysis!N8</f>
        <v>Keyboard</v>
      </c>
      <c r="C22" s="18">
        <f>Product_Analysis!O8</f>
        <v>89</v>
      </c>
      <c r="D22" s="28">
        <f>Product_Analysis!P8</f>
        <v>8009.11</v>
      </c>
      <c r="E22" s="18">
        <f>Product_Analysis!Q8</f>
        <v>34</v>
      </c>
    </row>
    <row r="23" ht="15.75" customHeight="1">
      <c r="B23" s="11" t="str">
        <f>Product_Analysis!N9</f>
        <v>Monitor</v>
      </c>
      <c r="C23" s="18">
        <f>Product_Analysis!O9</f>
        <v>88</v>
      </c>
      <c r="D23" s="28">
        <f>Product_Analysis!P9</f>
        <v>21999.12</v>
      </c>
      <c r="E23" s="18">
        <f>Product_Analysis!Q9</f>
        <v>26</v>
      </c>
    </row>
    <row r="24" ht="15.75" customHeight="1">
      <c r="B24" s="11" t="str">
        <f>Product_Analysis!N10</f>
        <v>Blender</v>
      </c>
      <c r="C24" s="18">
        <f>Product_Analysis!O10</f>
        <v>87</v>
      </c>
      <c r="D24" s="28">
        <f>Product_Analysis!P10</f>
        <v>5219.13</v>
      </c>
      <c r="E24" s="18">
        <f>Product_Analysis!Q10</f>
        <v>29</v>
      </c>
    </row>
    <row r="25" ht="15.75" customHeight="1"/>
    <row r="26" ht="15.75" customHeight="1">
      <c r="B26" s="6" t="s">
        <v>578</v>
      </c>
    </row>
    <row r="27" ht="15.75" customHeight="1">
      <c r="B27" s="3" t="s">
        <v>1</v>
      </c>
      <c r="C27" s="3" t="s">
        <v>317</v>
      </c>
      <c r="D27" s="3" t="s">
        <v>325</v>
      </c>
      <c r="E27" s="3" t="s">
        <v>315</v>
      </c>
      <c r="F27" s="3" t="s">
        <v>318</v>
      </c>
    </row>
    <row r="28" ht="15.75" customHeight="1">
      <c r="B28" s="11" t="str">
        <f>Pivot_Summaries!A15</f>
        <v>Central</v>
      </c>
      <c r="C28" s="28">
        <f>Pivot_Summaries!B15</f>
        <v>41288.34</v>
      </c>
      <c r="D28" s="29">
        <f>Pivot_Summaries!F15</f>
        <v>0.1801470179</v>
      </c>
      <c r="E28" s="18">
        <f>Pivot_Summaries!C15</f>
        <v>54</v>
      </c>
      <c r="F28" s="28">
        <f>Pivot_Summaries!E15</f>
        <v>764.5988889</v>
      </c>
    </row>
    <row r="29" ht="15.75" customHeight="1">
      <c r="B29" s="11" t="str">
        <f>Pivot_Summaries!A16</f>
        <v>East</v>
      </c>
      <c r="C29" s="28">
        <f>Pivot_Summaries!B16</f>
        <v>59288.39</v>
      </c>
      <c r="D29" s="29">
        <f>Pivot_Summaries!F16</f>
        <v>0.2586838477</v>
      </c>
      <c r="E29" s="18">
        <f>Pivot_Summaries!C16</f>
        <v>48</v>
      </c>
      <c r="F29" s="28">
        <f>Pivot_Summaries!E16</f>
        <v>1235.174792</v>
      </c>
    </row>
    <row r="30" ht="15.75" customHeight="1">
      <c r="B30" s="11" t="str">
        <f>Pivot_Summaries!A17</f>
        <v>North</v>
      </c>
      <c r="C30" s="28">
        <f>Pivot_Summaries!B17</f>
        <v>50808.31</v>
      </c>
      <c r="D30" s="29">
        <f>Pivot_Summaries!F17</f>
        <v>0.2216840283</v>
      </c>
      <c r="E30" s="18">
        <f>Pivot_Summaries!C17</f>
        <v>59</v>
      </c>
      <c r="F30" s="28">
        <f>Pivot_Summaries!E17</f>
        <v>861.1577966</v>
      </c>
    </row>
    <row r="31" ht="15.75" customHeight="1">
      <c r="B31" s="11" t="str">
        <f>Pivot_Summaries!A18</f>
        <v>South</v>
      </c>
      <c r="C31" s="28">
        <f>Pivot_Summaries!B18</f>
        <v>36398.75</v>
      </c>
      <c r="D31" s="29">
        <f>Pivot_Summaries!F18</f>
        <v>0.1588130273</v>
      </c>
      <c r="E31" s="18">
        <f>Pivot_Summaries!C18</f>
        <v>42</v>
      </c>
      <c r="F31" s="28">
        <f>Pivot_Summaries!E18</f>
        <v>866.6369048</v>
      </c>
    </row>
    <row r="32" ht="15.75" customHeight="1">
      <c r="B32" s="11" t="str">
        <f>Pivot_Summaries!A19</f>
        <v>West</v>
      </c>
      <c r="C32" s="28">
        <f>Pivot_Summaries!B19</f>
        <v>41408.68</v>
      </c>
      <c r="D32" s="29">
        <f>Pivot_Summaries!F19</f>
        <v>0.1806720788</v>
      </c>
      <c r="E32" s="18">
        <f>Pivot_Summaries!C19</f>
        <v>47</v>
      </c>
      <c r="F32" s="28">
        <f>Pivot_Summaries!E19</f>
        <v>881.0357447</v>
      </c>
    </row>
    <row r="33" ht="15.75" customHeight="1"/>
    <row r="34" ht="15.75" customHeight="1"/>
    <row r="35" ht="15.75" customHeight="1">
      <c r="B35" s="27"/>
    </row>
    <row r="36" ht="15.75" customHeight="1">
      <c r="B36" s="44"/>
    </row>
    <row r="37" ht="43.5" customHeight="1">
      <c r="B37" s="69"/>
    </row>
    <row r="38" ht="15.75" customHeight="1">
      <c r="B38" s="44"/>
    </row>
    <row r="39" ht="43.5" customHeight="1">
      <c r="B39" s="69"/>
    </row>
    <row r="40" ht="15.75" customHeight="1">
      <c r="B40" s="44"/>
    </row>
    <row r="41" ht="43.5" customHeight="1">
      <c r="B41" s="69"/>
    </row>
    <row r="42" ht="15.75" customHeight="1">
      <c r="B42" s="44"/>
    </row>
    <row r="43" ht="43.5" customHeight="1">
      <c r="B43" s="69"/>
    </row>
    <row r="44" ht="15.75" customHeight="1">
      <c r="B44" s="44"/>
    </row>
    <row r="45" ht="43.5" customHeight="1">
      <c r="B45" s="69"/>
    </row>
    <row r="46" ht="15.75" customHeight="1">
      <c r="B46" s="44"/>
    </row>
    <row r="47" ht="43.5" customHeight="1">
      <c r="B47" s="69"/>
    </row>
    <row r="48" ht="15.75" customHeight="1">
      <c r="B48" s="44"/>
    </row>
    <row r="49" ht="43.5" customHeight="1">
      <c r="B49" s="69"/>
    </row>
    <row r="50" ht="15.75" customHeight="1">
      <c r="B50" s="44"/>
    </row>
    <row r="51" ht="43.5" customHeight="1">
      <c r="B51" s="69"/>
    </row>
    <row r="52" ht="15.75" customHeight="1"/>
    <row r="53" ht="15.75" customHeight="1">
      <c r="B53" s="27"/>
    </row>
    <row r="54" ht="30.0" customHeight="1">
      <c r="B54" s="69"/>
    </row>
    <row r="55" ht="30.0" customHeight="1">
      <c r="B55" s="69"/>
    </row>
    <row r="56" ht="30.0" customHeight="1">
      <c r="B56" s="69"/>
    </row>
    <row r="57" ht="30.0" customHeight="1">
      <c r="B57" s="69"/>
    </row>
    <row r="58" ht="30.0" customHeight="1">
      <c r="B58" s="69"/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3">
    <mergeCell ref="B51:G51"/>
    <mergeCell ref="B54:G54"/>
    <mergeCell ref="B55:G55"/>
    <mergeCell ref="B56:G56"/>
    <mergeCell ref="B57:G57"/>
    <mergeCell ref="B58:G58"/>
    <mergeCell ref="B37:G37"/>
    <mergeCell ref="B39:G39"/>
    <mergeCell ref="B41:G41"/>
    <mergeCell ref="B43:G43"/>
    <mergeCell ref="B45:G45"/>
    <mergeCell ref="B47:G47"/>
    <mergeCell ref="B49:G49"/>
  </mergeCells>
  <printOptions/>
  <pageMargins bottom="1.0" footer="0.0" header="0.0" left="0.75" right="0.75" top="1.0"/>
  <pageSetup fitToHeight="0" orientation="landscape"/>
  <drawing r:id="rId1"/>
</worksheet>
</file>